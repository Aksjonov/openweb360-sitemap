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1" autoFilterDateGrouping="1"/>
  </bookViews>
  <sheets>
    <sheet xmlns:r="http://schemas.openxmlformats.org/officeDocument/2006/relationships" name="Старт" sheetId="1" state="visible" r:id="rId1"/>
    <sheet xmlns:r="http://schemas.openxmlformats.org/officeDocument/2006/relationships" name="Обзор" sheetId="2" state="visible" r:id="rId2"/>
    <sheet xmlns:r="http://schemas.openxmlformats.org/officeDocument/2006/relationships" name="Настройки" sheetId="3" state="visible" r:id="rId3"/>
    <sheet xmlns:r="http://schemas.openxmlformats.org/officeDocument/2006/relationships" name="Операции" sheetId="4" state="visible" r:id="rId4"/>
    <sheet xmlns:r="http://schemas.openxmlformats.org/officeDocument/2006/relationships" name="Подписки" sheetId="5" state="visible" r:id="rId5"/>
    <sheet xmlns:r="http://schemas.openxmlformats.org/officeDocument/2006/relationships" name="Долги" sheetId="6" state="visible" r:id="rId6"/>
    <sheet xmlns:r="http://schemas.openxmlformats.org/officeDocument/2006/relationships" name="Платежи" sheetId="7" state="visible" r:id="rId7"/>
    <sheet xmlns:r="http://schemas.openxmlformats.org/officeDocument/2006/relationships" name="Инвестиции" sheetId="8" state="visible" r:id="rId8"/>
    <sheet xmlns:r="http://schemas.openxmlformats.org/officeDocument/2006/relationships" name="Баланс" sheetId="9" state="visible" r:id="rId9"/>
    <sheet xmlns:r="http://schemas.openxmlformats.org/officeDocument/2006/relationships" name="Сводка по месяцам" sheetId="10" state="visible" r:id="rId10"/>
    <sheet xmlns:r="http://schemas.openxmlformats.org/officeDocument/2006/relationships" name="Списки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#,##0 &quot;€&quot;"/>
    <numFmt numFmtId="165" formatCode="0.0%"/>
    <numFmt numFmtId="166" formatCode="dd.mm.yyyy"/>
    <numFmt numFmtId="167" formatCode="#,##0.00 &quot;€&quot;"/>
    <numFmt numFmtId="168" formatCode="mmmm yyyy"/>
  </numFmts>
  <fonts count="4">
    <font>
      <name val="Calibri"/>
      <family val="2"/>
      <color theme="1"/>
      <sz val="11"/>
      <scheme val="minor"/>
    </font>
    <font>
      <b val="1"/>
    </font>
    <font>
      <b val="1"/>
      <sz val="16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DDEBF7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168" fontId="0" fillId="3" borderId="0" pivotButton="0" quotePrefix="0" xfId="0"/>
    <xf numFmtId="166" fontId="0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167" fontId="0" fillId="0" borderId="0" pivotButton="0" quotePrefix="0" xfId="0"/>
    <xf numFmtId="0" fontId="1" fillId="0" borderId="0" pivotButton="0" quotePrefix="0" xfId="0"/>
    <xf numFmtId="167" fontId="1" fillId="0" borderId="0" pivotButton="0" quotePrefix="0" xfId="0"/>
    <xf numFmtId="165" fontId="0" fillId="0" borderId="0" pivotButton="0" quotePrefix="0" xfId="0"/>
    <xf numFmtId="1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  <xf numFmtId="164" fontId="0" fillId="3" borderId="0" pivotButton="0" quotePrefix="0" xfId="0"/>
    <xf numFmtId="165" fontId="0" fillId="3" borderId="0" pivotButton="0" quotePrefix="0" xfId="0"/>
    <xf numFmtId="1" fontId="0" fillId="3" borderId="0" pivotButton="0" quotePrefix="0" xfId="0"/>
    <xf numFmtId="2" fontId="0" fillId="0" borderId="0" pivotButton="0" quotePrefix="0" xfId="0"/>
    <xf numFmtId="165" fontId="1" fillId="0" borderId="0" pivotButton="0" quotePrefix="0" xfId="0"/>
    <xf numFmtId="0" fontId="1" fillId="2" borderId="0" applyAlignment="1" pivotButton="0" quotePrefix="0" xfId="0">
      <alignment wrapText="1"/>
    </xf>
    <xf numFmtId="168" fontId="0" fillId="0" borderId="0" pivotButton="0" quotePrefix="0" xfId="0"/>
    <xf numFmtId="164" fontId="0" fillId="0" borderId="0" pivotButton="0" quotePrefix="0" xfId="0"/>
    <xf numFmtId="164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Как пользоваться</t>
        </is>
      </c>
    </row>
    <row r="2">
      <c r="A2" t="inlineStr">
        <is>
          <t>1. Настройки — укажите возраст, цель и ожидаемую доходность (жёлтые ячейки).</t>
        </is>
      </c>
    </row>
    <row r="3">
      <c r="A3" t="inlineStr">
        <is>
          <t>2. Операции — все доходы и расходы. Подписки записывайте в «Подписки», а не в «Операции».</t>
        </is>
      </c>
    </row>
    <row r="4">
      <c r="A4" t="inlineStr">
        <is>
          <t>3. Подписки — регулярные платежи. Учитываются каждый месяц автоматически.</t>
        </is>
      </c>
    </row>
    <row r="5">
      <c r="A5" t="inlineStr">
        <is>
          <t>4. Долги — кредиты, займы, лизинг, рассрочки, долги другим и вам. Остаток считается сам.</t>
        </is>
      </c>
    </row>
    <row r="6">
      <c r="A6" t="inlineStr">
        <is>
          <t>5. Платежи — каждый платёж по долгу (отдаёте или получаете). Остаток долга уменьшается.</t>
        </is>
      </c>
    </row>
    <row r="7">
      <c r="A7" t="inlineStr">
        <is>
          <t>6. Инвестиции — что купили и сколько сейчас стоит. Доходность считается сама.</t>
        </is>
      </c>
    </row>
    <row r="8">
      <c r="A8" t="inlineStr">
        <is>
          <t>7. Баланс — наличные, вклады, недвижимость, авто (то, что у вас есть).</t>
        </is>
      </c>
    </row>
    <row r="9">
      <c r="A9" t="inlineStr">
        <is>
          <t>8. Обзор — итоги месяца, чистый капитал и прогресс к цели. Месяц меняется в ячейке B3.</t>
        </is>
      </c>
    </row>
    <row r="10">
      <c r="A10" t="inlineStr">
        <is>
          <t>9. Сводка по месяцам — таблица за год с нормой сбережений.</t>
        </is>
      </c>
    </row>
    <row r="11">
      <c r="A11" t="inlineStr">
        <is>
          <t>Жёлтые ячейки — то, что нужно заполнять. Остальное считается автоматически.</t>
        </is>
      </c>
    </row>
    <row r="12">
      <c r="A12" t="inlineStr">
        <is>
          <t>Ожидаемая доходность — номинальная, без гарантий. Налоги и инфляция в расчёт не входят.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cols>
    <col width="46" customWidth="1" min="1" max="1"/>
    <col width="18" customWidth="1" min="2" max="2"/>
  </cols>
  <sheetData>
    <row r="1">
      <c r="A1" s="2" t="inlineStr">
        <is>
          <t>Мои финансы — обзор</t>
        </is>
      </c>
    </row>
    <row r="3">
      <c r="A3" t="inlineStr">
        <is>
          <t>Месяц (любая дата в нужном месяце)</t>
        </is>
      </c>
      <c r="B3" s="3">
        <f>DATE(YEAR(TODAY()),MONTH(TODAY()),1)</f>
        <v/>
      </c>
    </row>
    <row r="4">
      <c r="A4" t="inlineStr">
        <is>
          <t>Начало месяца</t>
        </is>
      </c>
      <c r="B4" s="4">
        <f>DATE(YEAR(B3),MONTH(B3),1)</f>
        <v/>
      </c>
    </row>
    <row r="5">
      <c r="A5" t="inlineStr">
        <is>
          <t>Конец месяца (не включая)</t>
        </is>
      </c>
      <c r="B5" s="4">
        <f>EDATE(B4,1)</f>
        <v/>
      </c>
    </row>
    <row r="7">
      <c r="A7" s="5" t="inlineStr">
        <is>
          <t>За месяц</t>
        </is>
      </c>
      <c r="B7" s="6" t="n"/>
    </row>
    <row r="8">
      <c r="A8" t="inlineStr">
        <is>
          <t>Доходы</t>
        </is>
      </c>
      <c r="B8" s="7">
        <f>SUMIFS(Операции!$D:$D,Операции!$B:$B,"Доход",Операции!$A:$A,"&gt;="&amp;$B$4,Операции!$A:$A,"&lt;"&amp;$B$5)</f>
        <v/>
      </c>
    </row>
    <row r="9">
      <c r="A9" t="inlineStr">
        <is>
          <t>Возвраты долгов (вам вернули)</t>
        </is>
      </c>
      <c r="B9" s="7">
        <f>SUMIFS(Платежи!$C:$C,Платежи!$D:$D,"Мне должны",Платежи!$A:$A,"&gt;="&amp;$B$4,Платежи!$A:$A,"&lt;"&amp;$B$5)</f>
        <v/>
      </c>
    </row>
    <row r="10">
      <c r="A10" t="inlineStr">
        <is>
          <t>Расходы</t>
        </is>
      </c>
      <c r="B10" s="7">
        <f>SUMIFS(Операции!$D:$D,Операции!$B:$B,"Расход",Операции!$A:$A,"&gt;="&amp;$B$4,Операции!$A:$A,"&lt;"&amp;$B$5)</f>
        <v/>
      </c>
    </row>
    <row r="11">
      <c r="A11" t="inlineStr">
        <is>
          <t>Подписки (в месяц)</t>
        </is>
      </c>
      <c r="B11" s="7">
        <f>Подписки!$E$501</f>
        <v/>
      </c>
    </row>
    <row r="12">
      <c r="A12" t="inlineStr">
        <is>
          <t>Платежи по долгам (вы отдали)</t>
        </is>
      </c>
      <c r="B12" s="7">
        <f>SUMIFS(Платежи!$C:$C,Платежи!$D:$D,"Я должен",Платежи!$A:$A,"&gt;="&amp;$B$4,Платежи!$A:$A,"&lt;"&amp;$B$5)</f>
        <v/>
      </c>
    </row>
    <row r="13">
      <c r="A13" s="8" t="inlineStr">
        <is>
          <t>Остаток за месяц</t>
        </is>
      </c>
      <c r="B13" s="9">
        <f>B8+B9-B10-B11-B12</f>
        <v/>
      </c>
    </row>
    <row r="14">
      <c r="A14" t="inlineStr">
        <is>
          <t>Норма сбережений</t>
        </is>
      </c>
      <c r="B14" s="10">
        <f>IF(B8+B9=0,"",B13/(B8+B9))</f>
        <v/>
      </c>
    </row>
    <row r="16">
      <c r="A16" s="5" t="inlineStr">
        <is>
          <t>Капитал (на сегодня)</t>
        </is>
      </c>
      <c r="B16" s="6" t="n"/>
    </row>
    <row r="17">
      <c r="A17" t="inlineStr">
        <is>
          <t>Наличные, вклады и имущество</t>
        </is>
      </c>
      <c r="B17" s="7">
        <f>Баланс!$C$501</f>
        <v/>
      </c>
    </row>
    <row r="18">
      <c r="A18" t="inlineStr">
        <is>
          <t>Инвестиции (текущая стоимость)</t>
        </is>
      </c>
      <c r="B18" s="7">
        <f>Инвестиции!$E$501</f>
        <v/>
      </c>
    </row>
    <row r="19">
      <c r="A19" t="inlineStr">
        <is>
          <t>Мне должны (остаток)</t>
        </is>
      </c>
      <c r="B19" s="7">
        <f>SUMIFS(Долги!$I:$I,Долги!$B:$B,"Мне должны")</f>
        <v/>
      </c>
    </row>
    <row r="20">
      <c r="A20" t="inlineStr">
        <is>
          <t>Я должен (остаток)</t>
        </is>
      </c>
      <c r="B20" s="7">
        <f>SUMIFS(Долги!$I:$I,Долги!$B:$B,"Я должен")</f>
        <v/>
      </c>
    </row>
    <row r="21">
      <c r="A21" s="8" t="inlineStr">
        <is>
          <t>Чистый капитал</t>
        </is>
      </c>
      <c r="B21" s="9">
        <f>B17+B18+B19-B20</f>
        <v/>
      </c>
    </row>
    <row r="23">
      <c r="A23" s="5" t="inlineStr">
        <is>
          <t>Цель</t>
        </is>
      </c>
      <c r="B23" s="6" t="n"/>
    </row>
    <row r="24">
      <c r="A24" t="inlineStr">
        <is>
          <t>Цель: инвестиционный капитал</t>
        </is>
      </c>
      <c r="B24" s="7">
        <f>Настройки!$B$4</f>
        <v/>
      </c>
    </row>
    <row r="25">
      <c r="A25" t="inlineStr">
        <is>
          <t>Инвестиции сейчас</t>
        </is>
      </c>
      <c r="B25" s="7">
        <f>B18</f>
        <v/>
      </c>
    </row>
    <row r="26">
      <c r="A26" t="inlineStr">
        <is>
          <t>Прогресс к цели</t>
        </is>
      </c>
      <c r="B26" s="10">
        <f>IF(B24=0,"",B25/B24)</f>
        <v/>
      </c>
    </row>
    <row r="27">
      <c r="A27" t="inlineStr">
        <is>
          <t>Лет до цели</t>
        </is>
      </c>
      <c r="B27" s="11">
        <f>Настройки!$B$6</f>
        <v/>
      </c>
    </row>
    <row r="28">
      <c r="A28" s="8" t="inlineStr">
        <is>
          <t>Нужно откладывать в месяц</t>
        </is>
      </c>
      <c r="B28" s="9">
        <f>IF(Настройки!$B$7=0,"",MAX(0,PMT(Настройки!$B$5/12,Настройки!$B$7,B25,-B24)))</f>
        <v/>
      </c>
    </row>
    <row r="29">
      <c r="A29" t="inlineStr">
        <is>
          <t>Сейчас откладываете (остаток за месяц)</t>
        </is>
      </c>
      <c r="B29" s="7">
        <f>B13</f>
        <v/>
      </c>
    </row>
    <row r="30">
      <c r="A30" t="inlineStr">
        <is>
          <t>Ежемесячные платежи по долгам (вы отдаёте)</t>
        </is>
      </c>
      <c r="B30" s="7">
        <f>SUMIFS(Долги!$F:$F,Долги!$B:$B,"Я должен",Долги!$I:$I,"&gt;0")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52" customWidth="1" min="1" max="1"/>
    <col width="16" customWidth="1" min="2" max="2"/>
  </cols>
  <sheetData>
    <row r="1">
      <c r="A1" s="12" t="inlineStr">
        <is>
          <t>Настройка</t>
        </is>
      </c>
      <c r="B1" s="12" t="inlineStr">
        <is>
          <t>Значение</t>
        </is>
      </c>
    </row>
    <row r="2">
      <c r="A2" t="inlineStr">
        <is>
          <t>Текущий возраст</t>
        </is>
      </c>
      <c r="B2" s="13" t="n">
        <v>34</v>
      </c>
    </row>
    <row r="3">
      <c r="A3" t="inlineStr">
        <is>
          <t>Целевой возраст</t>
        </is>
      </c>
      <c r="B3" s="13" t="n">
        <v>40</v>
      </c>
    </row>
    <row r="4">
      <c r="A4" t="inlineStr">
        <is>
          <t>Цель: инвестиционный капитал (€)</t>
        </is>
      </c>
      <c r="B4" s="14" t="n">
        <v>1000000</v>
      </c>
    </row>
    <row r="5">
      <c r="A5" t="inlineStr">
        <is>
          <t>Ожидаемая доходность в год (номинально)</t>
        </is>
      </c>
      <c r="B5" s="15" t="n">
        <v>0.07000000000000001</v>
      </c>
    </row>
    <row r="6">
      <c r="A6" t="inlineStr">
        <is>
          <t>Лет до цели</t>
        </is>
      </c>
      <c r="B6">
        <f>MAX(0,B3-B2)</f>
        <v/>
      </c>
    </row>
    <row r="7">
      <c r="A7" t="inlineStr">
        <is>
          <t>Месяцев до цели</t>
        </is>
      </c>
      <c r="B7" s="11">
        <f>B6*12</f>
        <v/>
      </c>
    </row>
    <row r="8">
      <c r="A8" t="inlineStr">
        <is>
          <t>Год для сводки по месяцам (по умолчанию текущий)</t>
        </is>
      </c>
      <c r="B8" s="16">
        <f>YEAR(TODAY())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1" customWidth="1" min="2" max="2"/>
    <col width="22" customWidth="1" min="3" max="3"/>
    <col width="14" customWidth="1" min="4" max="4"/>
    <col width="18" customWidth="1" min="5" max="5"/>
    <col width="40" customWidth="1" min="6" max="6"/>
  </cols>
  <sheetData>
    <row r="1">
      <c r="A1" s="1" t="inlineStr">
        <is>
          <t>Дата</t>
        </is>
      </c>
      <c r="B1" s="1" t="inlineStr">
        <is>
          <t>Тип</t>
        </is>
      </c>
      <c r="C1" s="1" t="inlineStr">
        <is>
          <t>Категория</t>
        </is>
      </c>
      <c r="D1" s="1" t="inlineStr">
        <is>
          <t>Сумма (€)</t>
        </is>
      </c>
      <c r="E1" s="1" t="inlineStr">
        <is>
          <t>Счёт</t>
        </is>
      </c>
      <c r="F1" s="1" t="inlineStr">
        <is>
          <t>Комментарий</t>
        </is>
      </c>
    </row>
    <row r="2">
      <c r="A2" s="4" t="n"/>
      <c r="D2" s="7" t="n"/>
    </row>
    <row r="3">
      <c r="A3" s="4" t="n"/>
      <c r="D3" s="7" t="n"/>
    </row>
    <row r="4">
      <c r="A4" s="4" t="n"/>
      <c r="D4" s="7" t="n"/>
    </row>
    <row r="5">
      <c r="A5" s="4" t="n"/>
      <c r="D5" s="7" t="n"/>
    </row>
    <row r="6">
      <c r="A6" s="4" t="n"/>
      <c r="D6" s="7" t="n"/>
    </row>
    <row r="7">
      <c r="A7" s="4" t="n"/>
      <c r="D7" s="7" t="n"/>
    </row>
    <row r="8">
      <c r="A8" s="4" t="n"/>
      <c r="D8" s="7" t="n"/>
    </row>
    <row r="9">
      <c r="A9" s="4" t="n"/>
      <c r="D9" s="7" t="n"/>
    </row>
    <row r="10">
      <c r="A10" s="4" t="n"/>
      <c r="D10" s="7" t="n"/>
    </row>
    <row r="11">
      <c r="A11" s="4" t="n"/>
      <c r="D11" s="7" t="n"/>
    </row>
    <row r="12">
      <c r="A12" s="4" t="n"/>
      <c r="D12" s="7" t="n"/>
    </row>
    <row r="13">
      <c r="A13" s="4" t="n"/>
      <c r="D13" s="7" t="n"/>
    </row>
    <row r="14">
      <c r="A14" s="4" t="n"/>
      <c r="D14" s="7" t="n"/>
    </row>
    <row r="15">
      <c r="A15" s="4" t="n"/>
      <c r="D15" s="7" t="n"/>
    </row>
    <row r="16">
      <c r="A16" s="4" t="n"/>
      <c r="D16" s="7" t="n"/>
    </row>
    <row r="17">
      <c r="A17" s="4" t="n"/>
      <c r="D17" s="7" t="n"/>
    </row>
    <row r="18">
      <c r="A18" s="4" t="n"/>
      <c r="D18" s="7" t="n"/>
    </row>
    <row r="19">
      <c r="A19" s="4" t="n"/>
      <c r="D19" s="7" t="n"/>
    </row>
    <row r="20">
      <c r="A20" s="4" t="n"/>
      <c r="D20" s="7" t="n"/>
    </row>
    <row r="21">
      <c r="A21" s="4" t="n"/>
      <c r="D21" s="7" t="n"/>
    </row>
    <row r="22">
      <c r="A22" s="4" t="n"/>
      <c r="D22" s="7" t="n"/>
    </row>
    <row r="23">
      <c r="A23" s="4" t="n"/>
      <c r="D23" s="7" t="n"/>
    </row>
    <row r="24">
      <c r="A24" s="4" t="n"/>
      <c r="D24" s="7" t="n"/>
    </row>
    <row r="25">
      <c r="A25" s="4" t="n"/>
      <c r="D25" s="7" t="n"/>
    </row>
    <row r="26">
      <c r="A26" s="4" t="n"/>
      <c r="D26" s="7" t="n"/>
    </row>
    <row r="27">
      <c r="A27" s="4" t="n"/>
      <c r="D27" s="7" t="n"/>
    </row>
    <row r="28">
      <c r="A28" s="4" t="n"/>
      <c r="D28" s="7" t="n"/>
    </row>
    <row r="29">
      <c r="A29" s="4" t="n"/>
      <c r="D29" s="7" t="n"/>
    </row>
    <row r="30">
      <c r="A30" s="4" t="n"/>
      <c r="D30" s="7" t="n"/>
    </row>
    <row r="31">
      <c r="A31" s="4" t="n"/>
      <c r="D31" s="7" t="n"/>
    </row>
    <row r="32">
      <c r="A32" s="4" t="n"/>
      <c r="D32" s="7" t="n"/>
    </row>
    <row r="33">
      <c r="A33" s="4" t="n"/>
      <c r="D33" s="7" t="n"/>
    </row>
    <row r="34">
      <c r="A34" s="4" t="n"/>
      <c r="D34" s="7" t="n"/>
    </row>
    <row r="35">
      <c r="A35" s="4" t="n"/>
      <c r="D35" s="7" t="n"/>
    </row>
    <row r="36">
      <c r="A36" s="4" t="n"/>
      <c r="D36" s="7" t="n"/>
    </row>
    <row r="37">
      <c r="A37" s="4" t="n"/>
      <c r="D37" s="7" t="n"/>
    </row>
    <row r="38">
      <c r="A38" s="4" t="n"/>
      <c r="D38" s="7" t="n"/>
    </row>
    <row r="39">
      <c r="A39" s="4" t="n"/>
      <c r="D39" s="7" t="n"/>
    </row>
    <row r="40">
      <c r="A40" s="4" t="n"/>
      <c r="D40" s="7" t="n"/>
    </row>
    <row r="41">
      <c r="A41" s="4" t="n"/>
      <c r="D41" s="7" t="n"/>
    </row>
    <row r="42">
      <c r="A42" s="4" t="n"/>
      <c r="D42" s="7" t="n"/>
    </row>
    <row r="43">
      <c r="A43" s="4" t="n"/>
      <c r="D43" s="7" t="n"/>
    </row>
    <row r="44">
      <c r="A44" s="4" t="n"/>
      <c r="D44" s="7" t="n"/>
    </row>
    <row r="45">
      <c r="A45" s="4" t="n"/>
      <c r="D45" s="7" t="n"/>
    </row>
    <row r="46">
      <c r="A46" s="4" t="n"/>
      <c r="D46" s="7" t="n"/>
    </row>
    <row r="47">
      <c r="A47" s="4" t="n"/>
      <c r="D47" s="7" t="n"/>
    </row>
    <row r="48">
      <c r="A48" s="4" t="n"/>
      <c r="D48" s="7" t="n"/>
    </row>
    <row r="49">
      <c r="A49" s="4" t="n"/>
      <c r="D49" s="7" t="n"/>
    </row>
    <row r="50">
      <c r="A50" s="4" t="n"/>
      <c r="D50" s="7" t="n"/>
    </row>
    <row r="51">
      <c r="A51" s="4" t="n"/>
      <c r="D51" s="7" t="n"/>
    </row>
    <row r="52">
      <c r="A52" s="4" t="n"/>
      <c r="D52" s="7" t="n"/>
    </row>
    <row r="53">
      <c r="A53" s="4" t="n"/>
      <c r="D53" s="7" t="n"/>
    </row>
    <row r="54">
      <c r="A54" s="4" t="n"/>
      <c r="D54" s="7" t="n"/>
    </row>
    <row r="55">
      <c r="A55" s="4" t="n"/>
      <c r="D55" s="7" t="n"/>
    </row>
    <row r="56">
      <c r="A56" s="4" t="n"/>
      <c r="D56" s="7" t="n"/>
    </row>
    <row r="57">
      <c r="A57" s="4" t="n"/>
      <c r="D57" s="7" t="n"/>
    </row>
    <row r="58">
      <c r="A58" s="4" t="n"/>
      <c r="D58" s="7" t="n"/>
    </row>
    <row r="59">
      <c r="A59" s="4" t="n"/>
      <c r="D59" s="7" t="n"/>
    </row>
    <row r="60">
      <c r="A60" s="4" t="n"/>
      <c r="D60" s="7" t="n"/>
    </row>
    <row r="61">
      <c r="A61" s="4" t="n"/>
      <c r="D61" s="7" t="n"/>
    </row>
    <row r="62">
      <c r="A62" s="4" t="n"/>
      <c r="D62" s="7" t="n"/>
    </row>
    <row r="63">
      <c r="A63" s="4" t="n"/>
      <c r="D63" s="7" t="n"/>
    </row>
    <row r="64">
      <c r="A64" s="4" t="n"/>
      <c r="D64" s="7" t="n"/>
    </row>
    <row r="65">
      <c r="A65" s="4" t="n"/>
      <c r="D65" s="7" t="n"/>
    </row>
    <row r="66">
      <c r="A66" s="4" t="n"/>
      <c r="D66" s="7" t="n"/>
    </row>
    <row r="67">
      <c r="A67" s="4" t="n"/>
      <c r="D67" s="7" t="n"/>
    </row>
    <row r="68">
      <c r="A68" s="4" t="n"/>
      <c r="D68" s="7" t="n"/>
    </row>
    <row r="69">
      <c r="A69" s="4" t="n"/>
      <c r="D69" s="7" t="n"/>
    </row>
    <row r="70">
      <c r="A70" s="4" t="n"/>
      <c r="D70" s="7" t="n"/>
    </row>
    <row r="71">
      <c r="A71" s="4" t="n"/>
      <c r="D71" s="7" t="n"/>
    </row>
    <row r="72">
      <c r="A72" s="4" t="n"/>
      <c r="D72" s="7" t="n"/>
    </row>
    <row r="73">
      <c r="A73" s="4" t="n"/>
      <c r="D73" s="7" t="n"/>
    </row>
    <row r="74">
      <c r="A74" s="4" t="n"/>
      <c r="D74" s="7" t="n"/>
    </row>
    <row r="75">
      <c r="A75" s="4" t="n"/>
      <c r="D75" s="7" t="n"/>
    </row>
    <row r="76">
      <c r="A76" s="4" t="n"/>
      <c r="D76" s="7" t="n"/>
    </row>
    <row r="77">
      <c r="A77" s="4" t="n"/>
      <c r="D77" s="7" t="n"/>
    </row>
    <row r="78">
      <c r="A78" s="4" t="n"/>
      <c r="D78" s="7" t="n"/>
    </row>
    <row r="79">
      <c r="A79" s="4" t="n"/>
      <c r="D79" s="7" t="n"/>
    </row>
    <row r="80">
      <c r="A80" s="4" t="n"/>
      <c r="D80" s="7" t="n"/>
    </row>
    <row r="81">
      <c r="A81" s="4" t="n"/>
      <c r="D81" s="7" t="n"/>
    </row>
    <row r="82">
      <c r="A82" s="4" t="n"/>
      <c r="D82" s="7" t="n"/>
    </row>
    <row r="83">
      <c r="A83" s="4" t="n"/>
      <c r="D83" s="7" t="n"/>
    </row>
    <row r="84">
      <c r="A84" s="4" t="n"/>
      <c r="D84" s="7" t="n"/>
    </row>
    <row r="85">
      <c r="A85" s="4" t="n"/>
      <c r="D85" s="7" t="n"/>
    </row>
    <row r="86">
      <c r="A86" s="4" t="n"/>
      <c r="D86" s="7" t="n"/>
    </row>
    <row r="87">
      <c r="A87" s="4" t="n"/>
      <c r="D87" s="7" t="n"/>
    </row>
    <row r="88">
      <c r="A88" s="4" t="n"/>
      <c r="D88" s="7" t="n"/>
    </row>
    <row r="89">
      <c r="A89" s="4" t="n"/>
      <c r="D89" s="7" t="n"/>
    </row>
    <row r="90">
      <c r="A90" s="4" t="n"/>
      <c r="D90" s="7" t="n"/>
    </row>
    <row r="91">
      <c r="A91" s="4" t="n"/>
      <c r="D91" s="7" t="n"/>
    </row>
    <row r="92">
      <c r="A92" s="4" t="n"/>
      <c r="D92" s="7" t="n"/>
    </row>
    <row r="93">
      <c r="A93" s="4" t="n"/>
      <c r="D93" s="7" t="n"/>
    </row>
    <row r="94">
      <c r="A94" s="4" t="n"/>
      <c r="D94" s="7" t="n"/>
    </row>
    <row r="95">
      <c r="A95" s="4" t="n"/>
      <c r="D95" s="7" t="n"/>
    </row>
    <row r="96">
      <c r="A96" s="4" t="n"/>
      <c r="D96" s="7" t="n"/>
    </row>
    <row r="97">
      <c r="A97" s="4" t="n"/>
      <c r="D97" s="7" t="n"/>
    </row>
    <row r="98">
      <c r="A98" s="4" t="n"/>
      <c r="D98" s="7" t="n"/>
    </row>
    <row r="99">
      <c r="A99" s="4" t="n"/>
      <c r="D99" s="7" t="n"/>
    </row>
    <row r="100">
      <c r="A100" s="4" t="n"/>
      <c r="D100" s="7" t="n"/>
    </row>
    <row r="101">
      <c r="A101" s="4" t="n"/>
      <c r="D101" s="7" t="n"/>
    </row>
    <row r="102">
      <c r="A102" s="4" t="n"/>
      <c r="D102" s="7" t="n"/>
    </row>
    <row r="103">
      <c r="A103" s="4" t="n"/>
      <c r="D103" s="7" t="n"/>
    </row>
    <row r="104">
      <c r="A104" s="4" t="n"/>
      <c r="D104" s="7" t="n"/>
    </row>
    <row r="105">
      <c r="A105" s="4" t="n"/>
      <c r="D105" s="7" t="n"/>
    </row>
    <row r="106">
      <c r="A106" s="4" t="n"/>
      <c r="D106" s="7" t="n"/>
    </row>
    <row r="107">
      <c r="A107" s="4" t="n"/>
      <c r="D107" s="7" t="n"/>
    </row>
    <row r="108">
      <c r="A108" s="4" t="n"/>
      <c r="D108" s="7" t="n"/>
    </row>
    <row r="109">
      <c r="A109" s="4" t="n"/>
      <c r="D109" s="7" t="n"/>
    </row>
    <row r="110">
      <c r="A110" s="4" t="n"/>
      <c r="D110" s="7" t="n"/>
    </row>
    <row r="111">
      <c r="A111" s="4" t="n"/>
      <c r="D111" s="7" t="n"/>
    </row>
    <row r="112">
      <c r="A112" s="4" t="n"/>
      <c r="D112" s="7" t="n"/>
    </row>
    <row r="113">
      <c r="A113" s="4" t="n"/>
      <c r="D113" s="7" t="n"/>
    </row>
    <row r="114">
      <c r="A114" s="4" t="n"/>
      <c r="D114" s="7" t="n"/>
    </row>
    <row r="115">
      <c r="A115" s="4" t="n"/>
      <c r="D115" s="7" t="n"/>
    </row>
    <row r="116">
      <c r="A116" s="4" t="n"/>
      <c r="D116" s="7" t="n"/>
    </row>
    <row r="117">
      <c r="A117" s="4" t="n"/>
      <c r="D117" s="7" t="n"/>
    </row>
    <row r="118">
      <c r="A118" s="4" t="n"/>
      <c r="D118" s="7" t="n"/>
    </row>
    <row r="119">
      <c r="A119" s="4" t="n"/>
      <c r="D119" s="7" t="n"/>
    </row>
    <row r="120">
      <c r="A120" s="4" t="n"/>
      <c r="D120" s="7" t="n"/>
    </row>
    <row r="121">
      <c r="A121" s="4" t="n"/>
      <c r="D121" s="7" t="n"/>
    </row>
    <row r="122">
      <c r="A122" s="4" t="n"/>
      <c r="D122" s="7" t="n"/>
    </row>
    <row r="123">
      <c r="A123" s="4" t="n"/>
      <c r="D123" s="7" t="n"/>
    </row>
    <row r="124">
      <c r="A124" s="4" t="n"/>
      <c r="D124" s="7" t="n"/>
    </row>
    <row r="125">
      <c r="A125" s="4" t="n"/>
      <c r="D125" s="7" t="n"/>
    </row>
    <row r="126">
      <c r="A126" s="4" t="n"/>
      <c r="D126" s="7" t="n"/>
    </row>
    <row r="127">
      <c r="A127" s="4" t="n"/>
      <c r="D127" s="7" t="n"/>
    </row>
    <row r="128">
      <c r="A128" s="4" t="n"/>
      <c r="D128" s="7" t="n"/>
    </row>
    <row r="129">
      <c r="A129" s="4" t="n"/>
      <c r="D129" s="7" t="n"/>
    </row>
    <row r="130">
      <c r="A130" s="4" t="n"/>
      <c r="D130" s="7" t="n"/>
    </row>
    <row r="131">
      <c r="A131" s="4" t="n"/>
      <c r="D131" s="7" t="n"/>
    </row>
    <row r="132">
      <c r="A132" s="4" t="n"/>
      <c r="D132" s="7" t="n"/>
    </row>
    <row r="133">
      <c r="A133" s="4" t="n"/>
      <c r="D133" s="7" t="n"/>
    </row>
    <row r="134">
      <c r="A134" s="4" t="n"/>
      <c r="D134" s="7" t="n"/>
    </row>
    <row r="135">
      <c r="A135" s="4" t="n"/>
      <c r="D135" s="7" t="n"/>
    </row>
    <row r="136">
      <c r="A136" s="4" t="n"/>
      <c r="D136" s="7" t="n"/>
    </row>
    <row r="137">
      <c r="A137" s="4" t="n"/>
      <c r="D137" s="7" t="n"/>
    </row>
    <row r="138">
      <c r="A138" s="4" t="n"/>
      <c r="D138" s="7" t="n"/>
    </row>
    <row r="139">
      <c r="A139" s="4" t="n"/>
      <c r="D139" s="7" t="n"/>
    </row>
    <row r="140">
      <c r="A140" s="4" t="n"/>
      <c r="D140" s="7" t="n"/>
    </row>
    <row r="141">
      <c r="A141" s="4" t="n"/>
      <c r="D141" s="7" t="n"/>
    </row>
    <row r="142">
      <c r="A142" s="4" t="n"/>
      <c r="D142" s="7" t="n"/>
    </row>
    <row r="143">
      <c r="A143" s="4" t="n"/>
      <c r="D143" s="7" t="n"/>
    </row>
    <row r="144">
      <c r="A144" s="4" t="n"/>
      <c r="D144" s="7" t="n"/>
    </row>
    <row r="145">
      <c r="A145" s="4" t="n"/>
      <c r="D145" s="7" t="n"/>
    </row>
    <row r="146">
      <c r="A146" s="4" t="n"/>
      <c r="D146" s="7" t="n"/>
    </row>
    <row r="147">
      <c r="A147" s="4" t="n"/>
      <c r="D147" s="7" t="n"/>
    </row>
    <row r="148">
      <c r="A148" s="4" t="n"/>
      <c r="D148" s="7" t="n"/>
    </row>
    <row r="149">
      <c r="A149" s="4" t="n"/>
      <c r="D149" s="7" t="n"/>
    </row>
    <row r="150">
      <c r="A150" s="4" t="n"/>
      <c r="D150" s="7" t="n"/>
    </row>
    <row r="151">
      <c r="A151" s="4" t="n"/>
      <c r="D151" s="7" t="n"/>
    </row>
    <row r="152">
      <c r="A152" s="4" t="n"/>
      <c r="D152" s="7" t="n"/>
    </row>
    <row r="153">
      <c r="A153" s="4" t="n"/>
      <c r="D153" s="7" t="n"/>
    </row>
    <row r="154">
      <c r="A154" s="4" t="n"/>
      <c r="D154" s="7" t="n"/>
    </row>
    <row r="155">
      <c r="A155" s="4" t="n"/>
      <c r="D155" s="7" t="n"/>
    </row>
    <row r="156">
      <c r="A156" s="4" t="n"/>
      <c r="D156" s="7" t="n"/>
    </row>
    <row r="157">
      <c r="A157" s="4" t="n"/>
      <c r="D157" s="7" t="n"/>
    </row>
    <row r="158">
      <c r="A158" s="4" t="n"/>
      <c r="D158" s="7" t="n"/>
    </row>
    <row r="159">
      <c r="A159" s="4" t="n"/>
      <c r="D159" s="7" t="n"/>
    </row>
    <row r="160">
      <c r="A160" s="4" t="n"/>
      <c r="D160" s="7" t="n"/>
    </row>
    <row r="161">
      <c r="A161" s="4" t="n"/>
      <c r="D161" s="7" t="n"/>
    </row>
    <row r="162">
      <c r="A162" s="4" t="n"/>
      <c r="D162" s="7" t="n"/>
    </row>
    <row r="163">
      <c r="A163" s="4" t="n"/>
      <c r="D163" s="7" t="n"/>
    </row>
    <row r="164">
      <c r="A164" s="4" t="n"/>
      <c r="D164" s="7" t="n"/>
    </row>
    <row r="165">
      <c r="A165" s="4" t="n"/>
      <c r="D165" s="7" t="n"/>
    </row>
    <row r="166">
      <c r="A166" s="4" t="n"/>
      <c r="D166" s="7" t="n"/>
    </row>
    <row r="167">
      <c r="A167" s="4" t="n"/>
      <c r="D167" s="7" t="n"/>
    </row>
    <row r="168">
      <c r="A168" s="4" t="n"/>
      <c r="D168" s="7" t="n"/>
    </row>
    <row r="169">
      <c r="A169" s="4" t="n"/>
      <c r="D169" s="7" t="n"/>
    </row>
    <row r="170">
      <c r="A170" s="4" t="n"/>
      <c r="D170" s="7" t="n"/>
    </row>
    <row r="171">
      <c r="A171" s="4" t="n"/>
      <c r="D171" s="7" t="n"/>
    </row>
    <row r="172">
      <c r="A172" s="4" t="n"/>
      <c r="D172" s="7" t="n"/>
    </row>
    <row r="173">
      <c r="A173" s="4" t="n"/>
      <c r="D173" s="7" t="n"/>
    </row>
    <row r="174">
      <c r="A174" s="4" t="n"/>
      <c r="D174" s="7" t="n"/>
    </row>
    <row r="175">
      <c r="A175" s="4" t="n"/>
      <c r="D175" s="7" t="n"/>
    </row>
    <row r="176">
      <c r="A176" s="4" t="n"/>
      <c r="D176" s="7" t="n"/>
    </row>
    <row r="177">
      <c r="A177" s="4" t="n"/>
      <c r="D177" s="7" t="n"/>
    </row>
    <row r="178">
      <c r="A178" s="4" t="n"/>
      <c r="D178" s="7" t="n"/>
    </row>
    <row r="179">
      <c r="A179" s="4" t="n"/>
      <c r="D179" s="7" t="n"/>
    </row>
    <row r="180">
      <c r="A180" s="4" t="n"/>
      <c r="D180" s="7" t="n"/>
    </row>
    <row r="181">
      <c r="A181" s="4" t="n"/>
      <c r="D181" s="7" t="n"/>
    </row>
    <row r="182">
      <c r="A182" s="4" t="n"/>
      <c r="D182" s="7" t="n"/>
    </row>
    <row r="183">
      <c r="A183" s="4" t="n"/>
      <c r="D183" s="7" t="n"/>
    </row>
    <row r="184">
      <c r="A184" s="4" t="n"/>
      <c r="D184" s="7" t="n"/>
    </row>
    <row r="185">
      <c r="A185" s="4" t="n"/>
      <c r="D185" s="7" t="n"/>
    </row>
    <row r="186">
      <c r="A186" s="4" t="n"/>
      <c r="D186" s="7" t="n"/>
    </row>
    <row r="187">
      <c r="A187" s="4" t="n"/>
      <c r="D187" s="7" t="n"/>
    </row>
    <row r="188">
      <c r="A188" s="4" t="n"/>
      <c r="D188" s="7" t="n"/>
    </row>
    <row r="189">
      <c r="A189" s="4" t="n"/>
      <c r="D189" s="7" t="n"/>
    </row>
    <row r="190">
      <c r="A190" s="4" t="n"/>
      <c r="D190" s="7" t="n"/>
    </row>
    <row r="191">
      <c r="A191" s="4" t="n"/>
      <c r="D191" s="7" t="n"/>
    </row>
    <row r="192">
      <c r="A192" s="4" t="n"/>
      <c r="D192" s="7" t="n"/>
    </row>
    <row r="193">
      <c r="A193" s="4" t="n"/>
      <c r="D193" s="7" t="n"/>
    </row>
    <row r="194">
      <c r="A194" s="4" t="n"/>
      <c r="D194" s="7" t="n"/>
    </row>
    <row r="195">
      <c r="A195" s="4" t="n"/>
      <c r="D195" s="7" t="n"/>
    </row>
    <row r="196">
      <c r="A196" s="4" t="n"/>
      <c r="D196" s="7" t="n"/>
    </row>
    <row r="197">
      <c r="A197" s="4" t="n"/>
      <c r="D197" s="7" t="n"/>
    </row>
    <row r="198">
      <c r="A198" s="4" t="n"/>
      <c r="D198" s="7" t="n"/>
    </row>
    <row r="199">
      <c r="A199" s="4" t="n"/>
      <c r="D199" s="7" t="n"/>
    </row>
    <row r="200">
      <c r="A200" s="4" t="n"/>
      <c r="D200" s="7" t="n"/>
    </row>
    <row r="201">
      <c r="A201" s="4" t="n"/>
      <c r="D201" s="7" t="n"/>
    </row>
    <row r="202">
      <c r="A202" s="4" t="n"/>
      <c r="D202" s="7" t="n"/>
    </row>
    <row r="203">
      <c r="A203" s="4" t="n"/>
      <c r="D203" s="7" t="n"/>
    </row>
    <row r="204">
      <c r="A204" s="4" t="n"/>
      <c r="D204" s="7" t="n"/>
    </row>
    <row r="205">
      <c r="A205" s="4" t="n"/>
      <c r="D205" s="7" t="n"/>
    </row>
    <row r="206">
      <c r="A206" s="4" t="n"/>
      <c r="D206" s="7" t="n"/>
    </row>
    <row r="207">
      <c r="A207" s="4" t="n"/>
      <c r="D207" s="7" t="n"/>
    </row>
    <row r="208">
      <c r="A208" s="4" t="n"/>
      <c r="D208" s="7" t="n"/>
    </row>
    <row r="209">
      <c r="A209" s="4" t="n"/>
      <c r="D209" s="7" t="n"/>
    </row>
    <row r="210">
      <c r="A210" s="4" t="n"/>
      <c r="D210" s="7" t="n"/>
    </row>
    <row r="211">
      <c r="A211" s="4" t="n"/>
      <c r="D211" s="7" t="n"/>
    </row>
    <row r="212">
      <c r="A212" s="4" t="n"/>
      <c r="D212" s="7" t="n"/>
    </row>
    <row r="213">
      <c r="A213" s="4" t="n"/>
      <c r="D213" s="7" t="n"/>
    </row>
    <row r="214">
      <c r="A214" s="4" t="n"/>
      <c r="D214" s="7" t="n"/>
    </row>
    <row r="215">
      <c r="A215" s="4" t="n"/>
      <c r="D215" s="7" t="n"/>
    </row>
    <row r="216">
      <c r="A216" s="4" t="n"/>
      <c r="D216" s="7" t="n"/>
    </row>
    <row r="217">
      <c r="A217" s="4" t="n"/>
      <c r="D217" s="7" t="n"/>
    </row>
    <row r="218">
      <c r="A218" s="4" t="n"/>
      <c r="D218" s="7" t="n"/>
    </row>
    <row r="219">
      <c r="A219" s="4" t="n"/>
      <c r="D219" s="7" t="n"/>
    </row>
    <row r="220">
      <c r="A220" s="4" t="n"/>
      <c r="D220" s="7" t="n"/>
    </row>
    <row r="221">
      <c r="A221" s="4" t="n"/>
      <c r="D221" s="7" t="n"/>
    </row>
    <row r="222">
      <c r="A222" s="4" t="n"/>
      <c r="D222" s="7" t="n"/>
    </row>
    <row r="223">
      <c r="A223" s="4" t="n"/>
      <c r="D223" s="7" t="n"/>
    </row>
    <row r="224">
      <c r="A224" s="4" t="n"/>
      <c r="D224" s="7" t="n"/>
    </row>
    <row r="225">
      <c r="A225" s="4" t="n"/>
      <c r="D225" s="7" t="n"/>
    </row>
    <row r="226">
      <c r="A226" s="4" t="n"/>
      <c r="D226" s="7" t="n"/>
    </row>
    <row r="227">
      <c r="A227" s="4" t="n"/>
      <c r="D227" s="7" t="n"/>
    </row>
    <row r="228">
      <c r="A228" s="4" t="n"/>
      <c r="D228" s="7" t="n"/>
    </row>
    <row r="229">
      <c r="A229" s="4" t="n"/>
      <c r="D229" s="7" t="n"/>
    </row>
    <row r="230">
      <c r="A230" s="4" t="n"/>
      <c r="D230" s="7" t="n"/>
    </row>
    <row r="231">
      <c r="A231" s="4" t="n"/>
      <c r="D231" s="7" t="n"/>
    </row>
    <row r="232">
      <c r="A232" s="4" t="n"/>
      <c r="D232" s="7" t="n"/>
    </row>
    <row r="233">
      <c r="A233" s="4" t="n"/>
      <c r="D233" s="7" t="n"/>
    </row>
    <row r="234">
      <c r="A234" s="4" t="n"/>
      <c r="D234" s="7" t="n"/>
    </row>
    <row r="235">
      <c r="A235" s="4" t="n"/>
      <c r="D235" s="7" t="n"/>
    </row>
    <row r="236">
      <c r="A236" s="4" t="n"/>
      <c r="D236" s="7" t="n"/>
    </row>
    <row r="237">
      <c r="A237" s="4" t="n"/>
      <c r="D237" s="7" t="n"/>
    </row>
    <row r="238">
      <c r="A238" s="4" t="n"/>
      <c r="D238" s="7" t="n"/>
    </row>
    <row r="239">
      <c r="A239" s="4" t="n"/>
      <c r="D239" s="7" t="n"/>
    </row>
    <row r="240">
      <c r="A240" s="4" t="n"/>
      <c r="D240" s="7" t="n"/>
    </row>
    <row r="241">
      <c r="A241" s="4" t="n"/>
      <c r="D241" s="7" t="n"/>
    </row>
    <row r="242">
      <c r="A242" s="4" t="n"/>
      <c r="D242" s="7" t="n"/>
    </row>
    <row r="243">
      <c r="A243" s="4" t="n"/>
      <c r="D243" s="7" t="n"/>
    </row>
    <row r="244">
      <c r="A244" s="4" t="n"/>
      <c r="D244" s="7" t="n"/>
    </row>
    <row r="245">
      <c r="A245" s="4" t="n"/>
      <c r="D245" s="7" t="n"/>
    </row>
    <row r="246">
      <c r="A246" s="4" t="n"/>
      <c r="D246" s="7" t="n"/>
    </row>
    <row r="247">
      <c r="A247" s="4" t="n"/>
      <c r="D247" s="7" t="n"/>
    </row>
    <row r="248">
      <c r="A248" s="4" t="n"/>
      <c r="D248" s="7" t="n"/>
    </row>
    <row r="249">
      <c r="A249" s="4" t="n"/>
      <c r="D249" s="7" t="n"/>
    </row>
    <row r="250">
      <c r="A250" s="4" t="n"/>
      <c r="D250" s="7" t="n"/>
    </row>
    <row r="251">
      <c r="A251" s="4" t="n"/>
      <c r="D251" s="7" t="n"/>
    </row>
    <row r="252">
      <c r="A252" s="4" t="n"/>
      <c r="D252" s="7" t="n"/>
    </row>
    <row r="253">
      <c r="A253" s="4" t="n"/>
      <c r="D253" s="7" t="n"/>
    </row>
    <row r="254">
      <c r="A254" s="4" t="n"/>
      <c r="D254" s="7" t="n"/>
    </row>
    <row r="255">
      <c r="A255" s="4" t="n"/>
      <c r="D255" s="7" t="n"/>
    </row>
    <row r="256">
      <c r="A256" s="4" t="n"/>
      <c r="D256" s="7" t="n"/>
    </row>
    <row r="257">
      <c r="A257" s="4" t="n"/>
      <c r="D257" s="7" t="n"/>
    </row>
    <row r="258">
      <c r="A258" s="4" t="n"/>
      <c r="D258" s="7" t="n"/>
    </row>
    <row r="259">
      <c r="A259" s="4" t="n"/>
      <c r="D259" s="7" t="n"/>
    </row>
    <row r="260">
      <c r="A260" s="4" t="n"/>
      <c r="D260" s="7" t="n"/>
    </row>
    <row r="261">
      <c r="A261" s="4" t="n"/>
      <c r="D261" s="7" t="n"/>
    </row>
    <row r="262">
      <c r="A262" s="4" t="n"/>
      <c r="D262" s="7" t="n"/>
    </row>
    <row r="263">
      <c r="A263" s="4" t="n"/>
      <c r="D263" s="7" t="n"/>
    </row>
    <row r="264">
      <c r="A264" s="4" t="n"/>
      <c r="D264" s="7" t="n"/>
    </row>
    <row r="265">
      <c r="A265" s="4" t="n"/>
      <c r="D265" s="7" t="n"/>
    </row>
    <row r="266">
      <c r="A266" s="4" t="n"/>
      <c r="D266" s="7" t="n"/>
    </row>
    <row r="267">
      <c r="A267" s="4" t="n"/>
      <c r="D267" s="7" t="n"/>
    </row>
    <row r="268">
      <c r="A268" s="4" t="n"/>
      <c r="D268" s="7" t="n"/>
    </row>
    <row r="269">
      <c r="A269" s="4" t="n"/>
      <c r="D269" s="7" t="n"/>
    </row>
    <row r="270">
      <c r="A270" s="4" t="n"/>
      <c r="D270" s="7" t="n"/>
    </row>
    <row r="271">
      <c r="A271" s="4" t="n"/>
      <c r="D271" s="7" t="n"/>
    </row>
    <row r="272">
      <c r="A272" s="4" t="n"/>
      <c r="D272" s="7" t="n"/>
    </row>
    <row r="273">
      <c r="A273" s="4" t="n"/>
      <c r="D273" s="7" t="n"/>
    </row>
    <row r="274">
      <c r="A274" s="4" t="n"/>
      <c r="D274" s="7" t="n"/>
    </row>
    <row r="275">
      <c r="A275" s="4" t="n"/>
      <c r="D275" s="7" t="n"/>
    </row>
    <row r="276">
      <c r="A276" s="4" t="n"/>
      <c r="D276" s="7" t="n"/>
    </row>
    <row r="277">
      <c r="A277" s="4" t="n"/>
      <c r="D277" s="7" t="n"/>
    </row>
    <row r="278">
      <c r="A278" s="4" t="n"/>
      <c r="D278" s="7" t="n"/>
    </row>
    <row r="279">
      <c r="A279" s="4" t="n"/>
      <c r="D279" s="7" t="n"/>
    </row>
    <row r="280">
      <c r="A280" s="4" t="n"/>
      <c r="D280" s="7" t="n"/>
    </row>
    <row r="281">
      <c r="A281" s="4" t="n"/>
      <c r="D281" s="7" t="n"/>
    </row>
    <row r="282">
      <c r="A282" s="4" t="n"/>
      <c r="D282" s="7" t="n"/>
    </row>
    <row r="283">
      <c r="A283" s="4" t="n"/>
      <c r="D283" s="7" t="n"/>
    </row>
    <row r="284">
      <c r="A284" s="4" t="n"/>
      <c r="D284" s="7" t="n"/>
    </row>
    <row r="285">
      <c r="A285" s="4" t="n"/>
      <c r="D285" s="7" t="n"/>
    </row>
    <row r="286">
      <c r="A286" s="4" t="n"/>
      <c r="D286" s="7" t="n"/>
    </row>
    <row r="287">
      <c r="A287" s="4" t="n"/>
      <c r="D287" s="7" t="n"/>
    </row>
    <row r="288">
      <c r="A288" s="4" t="n"/>
      <c r="D288" s="7" t="n"/>
    </row>
    <row r="289">
      <c r="A289" s="4" t="n"/>
      <c r="D289" s="7" t="n"/>
    </row>
    <row r="290">
      <c r="A290" s="4" t="n"/>
      <c r="D290" s="7" t="n"/>
    </row>
    <row r="291">
      <c r="A291" s="4" t="n"/>
      <c r="D291" s="7" t="n"/>
    </row>
    <row r="292">
      <c r="A292" s="4" t="n"/>
      <c r="D292" s="7" t="n"/>
    </row>
    <row r="293">
      <c r="A293" s="4" t="n"/>
      <c r="D293" s="7" t="n"/>
    </row>
    <row r="294">
      <c r="A294" s="4" t="n"/>
      <c r="D294" s="7" t="n"/>
    </row>
    <row r="295">
      <c r="A295" s="4" t="n"/>
      <c r="D295" s="7" t="n"/>
    </row>
    <row r="296">
      <c r="A296" s="4" t="n"/>
      <c r="D296" s="7" t="n"/>
    </row>
    <row r="297">
      <c r="A297" s="4" t="n"/>
      <c r="D297" s="7" t="n"/>
    </row>
    <row r="298">
      <c r="A298" s="4" t="n"/>
      <c r="D298" s="7" t="n"/>
    </row>
    <row r="299">
      <c r="A299" s="4" t="n"/>
      <c r="D299" s="7" t="n"/>
    </row>
    <row r="300">
      <c r="A300" s="4" t="n"/>
      <c r="D300" s="7" t="n"/>
    </row>
    <row r="301">
      <c r="A301" s="4" t="n"/>
      <c r="D301" s="7" t="n"/>
    </row>
    <row r="302">
      <c r="A302" s="4" t="n"/>
      <c r="D302" s="7" t="n"/>
    </row>
    <row r="303">
      <c r="A303" s="4" t="n"/>
      <c r="D303" s="7" t="n"/>
    </row>
    <row r="304">
      <c r="A304" s="4" t="n"/>
      <c r="D304" s="7" t="n"/>
    </row>
    <row r="305">
      <c r="A305" s="4" t="n"/>
      <c r="D305" s="7" t="n"/>
    </row>
    <row r="306">
      <c r="A306" s="4" t="n"/>
      <c r="D306" s="7" t="n"/>
    </row>
    <row r="307">
      <c r="A307" s="4" t="n"/>
      <c r="D307" s="7" t="n"/>
    </row>
    <row r="308">
      <c r="A308" s="4" t="n"/>
      <c r="D308" s="7" t="n"/>
    </row>
    <row r="309">
      <c r="A309" s="4" t="n"/>
      <c r="D309" s="7" t="n"/>
    </row>
    <row r="310">
      <c r="A310" s="4" t="n"/>
      <c r="D310" s="7" t="n"/>
    </row>
    <row r="311">
      <c r="A311" s="4" t="n"/>
      <c r="D311" s="7" t="n"/>
    </row>
    <row r="312">
      <c r="A312" s="4" t="n"/>
      <c r="D312" s="7" t="n"/>
    </row>
    <row r="313">
      <c r="A313" s="4" t="n"/>
      <c r="D313" s="7" t="n"/>
    </row>
    <row r="314">
      <c r="A314" s="4" t="n"/>
      <c r="D314" s="7" t="n"/>
    </row>
    <row r="315">
      <c r="A315" s="4" t="n"/>
      <c r="D315" s="7" t="n"/>
    </row>
    <row r="316">
      <c r="A316" s="4" t="n"/>
      <c r="D316" s="7" t="n"/>
    </row>
    <row r="317">
      <c r="A317" s="4" t="n"/>
      <c r="D317" s="7" t="n"/>
    </row>
    <row r="318">
      <c r="A318" s="4" t="n"/>
      <c r="D318" s="7" t="n"/>
    </row>
    <row r="319">
      <c r="A319" s="4" t="n"/>
      <c r="D319" s="7" t="n"/>
    </row>
    <row r="320">
      <c r="A320" s="4" t="n"/>
      <c r="D320" s="7" t="n"/>
    </row>
    <row r="321">
      <c r="A321" s="4" t="n"/>
      <c r="D321" s="7" t="n"/>
    </row>
    <row r="322">
      <c r="A322" s="4" t="n"/>
      <c r="D322" s="7" t="n"/>
    </row>
    <row r="323">
      <c r="A323" s="4" t="n"/>
      <c r="D323" s="7" t="n"/>
    </row>
    <row r="324">
      <c r="A324" s="4" t="n"/>
      <c r="D324" s="7" t="n"/>
    </row>
    <row r="325">
      <c r="A325" s="4" t="n"/>
      <c r="D325" s="7" t="n"/>
    </row>
    <row r="326">
      <c r="A326" s="4" t="n"/>
      <c r="D326" s="7" t="n"/>
    </row>
    <row r="327">
      <c r="A327" s="4" t="n"/>
      <c r="D327" s="7" t="n"/>
    </row>
    <row r="328">
      <c r="A328" s="4" t="n"/>
      <c r="D328" s="7" t="n"/>
    </row>
    <row r="329">
      <c r="A329" s="4" t="n"/>
      <c r="D329" s="7" t="n"/>
    </row>
    <row r="330">
      <c r="A330" s="4" t="n"/>
      <c r="D330" s="7" t="n"/>
    </row>
    <row r="331">
      <c r="A331" s="4" t="n"/>
      <c r="D331" s="7" t="n"/>
    </row>
    <row r="332">
      <c r="A332" s="4" t="n"/>
      <c r="D332" s="7" t="n"/>
    </row>
    <row r="333">
      <c r="A333" s="4" t="n"/>
      <c r="D333" s="7" t="n"/>
    </row>
    <row r="334">
      <c r="A334" s="4" t="n"/>
      <c r="D334" s="7" t="n"/>
    </row>
    <row r="335">
      <c r="A335" s="4" t="n"/>
      <c r="D335" s="7" t="n"/>
    </row>
    <row r="336">
      <c r="A336" s="4" t="n"/>
      <c r="D336" s="7" t="n"/>
    </row>
    <row r="337">
      <c r="A337" s="4" t="n"/>
      <c r="D337" s="7" t="n"/>
    </row>
    <row r="338">
      <c r="A338" s="4" t="n"/>
      <c r="D338" s="7" t="n"/>
    </row>
    <row r="339">
      <c r="A339" s="4" t="n"/>
      <c r="D339" s="7" t="n"/>
    </row>
    <row r="340">
      <c r="A340" s="4" t="n"/>
      <c r="D340" s="7" t="n"/>
    </row>
    <row r="341">
      <c r="A341" s="4" t="n"/>
      <c r="D341" s="7" t="n"/>
    </row>
    <row r="342">
      <c r="A342" s="4" t="n"/>
      <c r="D342" s="7" t="n"/>
    </row>
    <row r="343">
      <c r="A343" s="4" t="n"/>
      <c r="D343" s="7" t="n"/>
    </row>
    <row r="344">
      <c r="A344" s="4" t="n"/>
      <c r="D344" s="7" t="n"/>
    </row>
    <row r="345">
      <c r="A345" s="4" t="n"/>
      <c r="D345" s="7" t="n"/>
    </row>
    <row r="346">
      <c r="A346" s="4" t="n"/>
      <c r="D346" s="7" t="n"/>
    </row>
    <row r="347">
      <c r="A347" s="4" t="n"/>
      <c r="D347" s="7" t="n"/>
    </row>
    <row r="348">
      <c r="A348" s="4" t="n"/>
      <c r="D348" s="7" t="n"/>
    </row>
    <row r="349">
      <c r="A349" s="4" t="n"/>
      <c r="D349" s="7" t="n"/>
    </row>
    <row r="350">
      <c r="A350" s="4" t="n"/>
      <c r="D350" s="7" t="n"/>
    </row>
    <row r="351">
      <c r="A351" s="4" t="n"/>
      <c r="D351" s="7" t="n"/>
    </row>
    <row r="352">
      <c r="A352" s="4" t="n"/>
      <c r="D352" s="7" t="n"/>
    </row>
    <row r="353">
      <c r="A353" s="4" t="n"/>
      <c r="D353" s="7" t="n"/>
    </row>
    <row r="354">
      <c r="A354" s="4" t="n"/>
      <c r="D354" s="7" t="n"/>
    </row>
    <row r="355">
      <c r="A355" s="4" t="n"/>
      <c r="D355" s="7" t="n"/>
    </row>
    <row r="356">
      <c r="A356" s="4" t="n"/>
      <c r="D356" s="7" t="n"/>
    </row>
    <row r="357">
      <c r="A357" s="4" t="n"/>
      <c r="D357" s="7" t="n"/>
    </row>
    <row r="358">
      <c r="A358" s="4" t="n"/>
      <c r="D358" s="7" t="n"/>
    </row>
    <row r="359">
      <c r="A359" s="4" t="n"/>
      <c r="D359" s="7" t="n"/>
    </row>
    <row r="360">
      <c r="A360" s="4" t="n"/>
      <c r="D360" s="7" t="n"/>
    </row>
    <row r="361">
      <c r="A361" s="4" t="n"/>
      <c r="D361" s="7" t="n"/>
    </row>
    <row r="362">
      <c r="A362" s="4" t="n"/>
      <c r="D362" s="7" t="n"/>
    </row>
    <row r="363">
      <c r="A363" s="4" t="n"/>
      <c r="D363" s="7" t="n"/>
    </row>
    <row r="364">
      <c r="A364" s="4" t="n"/>
      <c r="D364" s="7" t="n"/>
    </row>
    <row r="365">
      <c r="A365" s="4" t="n"/>
      <c r="D365" s="7" t="n"/>
    </row>
    <row r="366">
      <c r="A366" s="4" t="n"/>
      <c r="D366" s="7" t="n"/>
    </row>
    <row r="367">
      <c r="A367" s="4" t="n"/>
      <c r="D367" s="7" t="n"/>
    </row>
    <row r="368">
      <c r="A368" s="4" t="n"/>
      <c r="D368" s="7" t="n"/>
    </row>
    <row r="369">
      <c r="A369" s="4" t="n"/>
      <c r="D369" s="7" t="n"/>
    </row>
    <row r="370">
      <c r="A370" s="4" t="n"/>
      <c r="D370" s="7" t="n"/>
    </row>
    <row r="371">
      <c r="A371" s="4" t="n"/>
      <c r="D371" s="7" t="n"/>
    </row>
    <row r="372">
      <c r="A372" s="4" t="n"/>
      <c r="D372" s="7" t="n"/>
    </row>
    <row r="373">
      <c r="A373" s="4" t="n"/>
      <c r="D373" s="7" t="n"/>
    </row>
    <row r="374">
      <c r="A374" s="4" t="n"/>
      <c r="D374" s="7" t="n"/>
    </row>
    <row r="375">
      <c r="A375" s="4" t="n"/>
      <c r="D375" s="7" t="n"/>
    </row>
    <row r="376">
      <c r="A376" s="4" t="n"/>
      <c r="D376" s="7" t="n"/>
    </row>
    <row r="377">
      <c r="A377" s="4" t="n"/>
      <c r="D377" s="7" t="n"/>
    </row>
    <row r="378">
      <c r="A378" s="4" t="n"/>
      <c r="D378" s="7" t="n"/>
    </row>
    <row r="379">
      <c r="A379" s="4" t="n"/>
      <c r="D379" s="7" t="n"/>
    </row>
    <row r="380">
      <c r="A380" s="4" t="n"/>
      <c r="D380" s="7" t="n"/>
    </row>
    <row r="381">
      <c r="A381" s="4" t="n"/>
      <c r="D381" s="7" t="n"/>
    </row>
    <row r="382">
      <c r="A382" s="4" t="n"/>
      <c r="D382" s="7" t="n"/>
    </row>
    <row r="383">
      <c r="A383" s="4" t="n"/>
      <c r="D383" s="7" t="n"/>
    </row>
    <row r="384">
      <c r="A384" s="4" t="n"/>
      <c r="D384" s="7" t="n"/>
    </row>
    <row r="385">
      <c r="A385" s="4" t="n"/>
      <c r="D385" s="7" t="n"/>
    </row>
    <row r="386">
      <c r="A386" s="4" t="n"/>
      <c r="D386" s="7" t="n"/>
    </row>
    <row r="387">
      <c r="A387" s="4" t="n"/>
      <c r="D387" s="7" t="n"/>
    </row>
    <row r="388">
      <c r="A388" s="4" t="n"/>
      <c r="D388" s="7" t="n"/>
    </row>
    <row r="389">
      <c r="A389" s="4" t="n"/>
      <c r="D389" s="7" t="n"/>
    </row>
    <row r="390">
      <c r="A390" s="4" t="n"/>
      <c r="D390" s="7" t="n"/>
    </row>
    <row r="391">
      <c r="A391" s="4" t="n"/>
      <c r="D391" s="7" t="n"/>
    </row>
    <row r="392">
      <c r="A392" s="4" t="n"/>
      <c r="D392" s="7" t="n"/>
    </row>
    <row r="393">
      <c r="A393" s="4" t="n"/>
      <c r="D393" s="7" t="n"/>
    </row>
    <row r="394">
      <c r="A394" s="4" t="n"/>
      <c r="D394" s="7" t="n"/>
    </row>
    <row r="395">
      <c r="A395" s="4" t="n"/>
      <c r="D395" s="7" t="n"/>
    </row>
    <row r="396">
      <c r="A396" s="4" t="n"/>
      <c r="D396" s="7" t="n"/>
    </row>
    <row r="397">
      <c r="A397" s="4" t="n"/>
      <c r="D397" s="7" t="n"/>
    </row>
    <row r="398">
      <c r="A398" s="4" t="n"/>
      <c r="D398" s="7" t="n"/>
    </row>
    <row r="399">
      <c r="A399" s="4" t="n"/>
      <c r="D399" s="7" t="n"/>
    </row>
    <row r="400">
      <c r="A400" s="4" t="n"/>
      <c r="D400" s="7" t="n"/>
    </row>
    <row r="401">
      <c r="A401" s="4" t="n"/>
      <c r="D401" s="7" t="n"/>
    </row>
    <row r="402">
      <c r="A402" s="4" t="n"/>
      <c r="D402" s="7" t="n"/>
    </row>
    <row r="403">
      <c r="A403" s="4" t="n"/>
      <c r="D403" s="7" t="n"/>
    </row>
    <row r="404">
      <c r="A404" s="4" t="n"/>
      <c r="D404" s="7" t="n"/>
    </row>
    <row r="405">
      <c r="A405" s="4" t="n"/>
      <c r="D405" s="7" t="n"/>
    </row>
    <row r="406">
      <c r="A406" s="4" t="n"/>
      <c r="D406" s="7" t="n"/>
    </row>
    <row r="407">
      <c r="A407" s="4" t="n"/>
      <c r="D407" s="7" t="n"/>
    </row>
    <row r="408">
      <c r="A408" s="4" t="n"/>
      <c r="D408" s="7" t="n"/>
    </row>
    <row r="409">
      <c r="A409" s="4" t="n"/>
      <c r="D409" s="7" t="n"/>
    </row>
    <row r="410">
      <c r="A410" s="4" t="n"/>
      <c r="D410" s="7" t="n"/>
    </row>
    <row r="411">
      <c r="A411" s="4" t="n"/>
      <c r="D411" s="7" t="n"/>
    </row>
    <row r="412">
      <c r="A412" s="4" t="n"/>
      <c r="D412" s="7" t="n"/>
    </row>
    <row r="413">
      <c r="A413" s="4" t="n"/>
      <c r="D413" s="7" t="n"/>
    </row>
    <row r="414">
      <c r="A414" s="4" t="n"/>
      <c r="D414" s="7" t="n"/>
    </row>
    <row r="415">
      <c r="A415" s="4" t="n"/>
      <c r="D415" s="7" t="n"/>
    </row>
    <row r="416">
      <c r="A416" s="4" t="n"/>
      <c r="D416" s="7" t="n"/>
    </row>
    <row r="417">
      <c r="A417" s="4" t="n"/>
      <c r="D417" s="7" t="n"/>
    </row>
    <row r="418">
      <c r="A418" s="4" t="n"/>
      <c r="D418" s="7" t="n"/>
    </row>
    <row r="419">
      <c r="A419" s="4" t="n"/>
      <c r="D419" s="7" t="n"/>
    </row>
    <row r="420">
      <c r="A420" s="4" t="n"/>
      <c r="D420" s="7" t="n"/>
    </row>
    <row r="421">
      <c r="A421" s="4" t="n"/>
      <c r="D421" s="7" t="n"/>
    </row>
    <row r="422">
      <c r="A422" s="4" t="n"/>
      <c r="D422" s="7" t="n"/>
    </row>
    <row r="423">
      <c r="A423" s="4" t="n"/>
      <c r="D423" s="7" t="n"/>
    </row>
    <row r="424">
      <c r="A424" s="4" t="n"/>
      <c r="D424" s="7" t="n"/>
    </row>
    <row r="425">
      <c r="A425" s="4" t="n"/>
      <c r="D425" s="7" t="n"/>
    </row>
    <row r="426">
      <c r="A426" s="4" t="n"/>
      <c r="D426" s="7" t="n"/>
    </row>
    <row r="427">
      <c r="A427" s="4" t="n"/>
      <c r="D427" s="7" t="n"/>
    </row>
    <row r="428">
      <c r="A428" s="4" t="n"/>
      <c r="D428" s="7" t="n"/>
    </row>
    <row r="429">
      <c r="A429" s="4" t="n"/>
      <c r="D429" s="7" t="n"/>
    </row>
    <row r="430">
      <c r="A430" s="4" t="n"/>
      <c r="D430" s="7" t="n"/>
    </row>
    <row r="431">
      <c r="A431" s="4" t="n"/>
      <c r="D431" s="7" t="n"/>
    </row>
    <row r="432">
      <c r="A432" s="4" t="n"/>
      <c r="D432" s="7" t="n"/>
    </row>
    <row r="433">
      <c r="A433" s="4" t="n"/>
      <c r="D433" s="7" t="n"/>
    </row>
    <row r="434">
      <c r="A434" s="4" t="n"/>
      <c r="D434" s="7" t="n"/>
    </row>
    <row r="435">
      <c r="A435" s="4" t="n"/>
      <c r="D435" s="7" t="n"/>
    </row>
    <row r="436">
      <c r="A436" s="4" t="n"/>
      <c r="D436" s="7" t="n"/>
    </row>
    <row r="437">
      <c r="A437" s="4" t="n"/>
      <c r="D437" s="7" t="n"/>
    </row>
    <row r="438">
      <c r="A438" s="4" t="n"/>
      <c r="D438" s="7" t="n"/>
    </row>
    <row r="439">
      <c r="A439" s="4" t="n"/>
      <c r="D439" s="7" t="n"/>
    </row>
    <row r="440">
      <c r="A440" s="4" t="n"/>
      <c r="D440" s="7" t="n"/>
    </row>
    <row r="441">
      <c r="A441" s="4" t="n"/>
      <c r="D441" s="7" t="n"/>
    </row>
    <row r="442">
      <c r="A442" s="4" t="n"/>
      <c r="D442" s="7" t="n"/>
    </row>
    <row r="443">
      <c r="A443" s="4" t="n"/>
      <c r="D443" s="7" t="n"/>
    </row>
    <row r="444">
      <c r="A444" s="4" t="n"/>
      <c r="D444" s="7" t="n"/>
    </row>
    <row r="445">
      <c r="A445" s="4" t="n"/>
      <c r="D445" s="7" t="n"/>
    </row>
    <row r="446">
      <c r="A446" s="4" t="n"/>
      <c r="D446" s="7" t="n"/>
    </row>
    <row r="447">
      <c r="A447" s="4" t="n"/>
      <c r="D447" s="7" t="n"/>
    </row>
    <row r="448">
      <c r="A448" s="4" t="n"/>
      <c r="D448" s="7" t="n"/>
    </row>
    <row r="449">
      <c r="A449" s="4" t="n"/>
      <c r="D449" s="7" t="n"/>
    </row>
    <row r="450">
      <c r="A450" s="4" t="n"/>
      <c r="D450" s="7" t="n"/>
    </row>
    <row r="451">
      <c r="A451" s="4" t="n"/>
      <c r="D451" s="7" t="n"/>
    </row>
    <row r="452">
      <c r="A452" s="4" t="n"/>
      <c r="D452" s="7" t="n"/>
    </row>
    <row r="453">
      <c r="A453" s="4" t="n"/>
      <c r="D453" s="7" t="n"/>
    </row>
    <row r="454">
      <c r="A454" s="4" t="n"/>
      <c r="D454" s="7" t="n"/>
    </row>
    <row r="455">
      <c r="A455" s="4" t="n"/>
      <c r="D455" s="7" t="n"/>
    </row>
    <row r="456">
      <c r="A456" s="4" t="n"/>
      <c r="D456" s="7" t="n"/>
    </row>
    <row r="457">
      <c r="A457" s="4" t="n"/>
      <c r="D457" s="7" t="n"/>
    </row>
    <row r="458">
      <c r="A458" s="4" t="n"/>
      <c r="D458" s="7" t="n"/>
    </row>
    <row r="459">
      <c r="A459" s="4" t="n"/>
      <c r="D459" s="7" t="n"/>
    </row>
    <row r="460">
      <c r="A460" s="4" t="n"/>
      <c r="D460" s="7" t="n"/>
    </row>
    <row r="461">
      <c r="A461" s="4" t="n"/>
      <c r="D461" s="7" t="n"/>
    </row>
    <row r="462">
      <c r="A462" s="4" t="n"/>
      <c r="D462" s="7" t="n"/>
    </row>
    <row r="463">
      <c r="A463" s="4" t="n"/>
      <c r="D463" s="7" t="n"/>
    </row>
    <row r="464">
      <c r="A464" s="4" t="n"/>
      <c r="D464" s="7" t="n"/>
    </row>
    <row r="465">
      <c r="A465" s="4" t="n"/>
      <c r="D465" s="7" t="n"/>
    </row>
    <row r="466">
      <c r="A466" s="4" t="n"/>
      <c r="D466" s="7" t="n"/>
    </row>
    <row r="467">
      <c r="A467" s="4" t="n"/>
      <c r="D467" s="7" t="n"/>
    </row>
    <row r="468">
      <c r="A468" s="4" t="n"/>
      <c r="D468" s="7" t="n"/>
    </row>
    <row r="469">
      <c r="A469" s="4" t="n"/>
      <c r="D469" s="7" t="n"/>
    </row>
    <row r="470">
      <c r="A470" s="4" t="n"/>
      <c r="D470" s="7" t="n"/>
    </row>
    <row r="471">
      <c r="A471" s="4" t="n"/>
      <c r="D471" s="7" t="n"/>
    </row>
    <row r="472">
      <c r="A472" s="4" t="n"/>
      <c r="D472" s="7" t="n"/>
    </row>
    <row r="473">
      <c r="A473" s="4" t="n"/>
      <c r="D473" s="7" t="n"/>
    </row>
    <row r="474">
      <c r="A474" s="4" t="n"/>
      <c r="D474" s="7" t="n"/>
    </row>
    <row r="475">
      <c r="A475" s="4" t="n"/>
      <c r="D475" s="7" t="n"/>
    </row>
    <row r="476">
      <c r="A476" s="4" t="n"/>
      <c r="D476" s="7" t="n"/>
    </row>
    <row r="477">
      <c r="A477" s="4" t="n"/>
      <c r="D477" s="7" t="n"/>
    </row>
    <row r="478">
      <c r="A478" s="4" t="n"/>
      <c r="D478" s="7" t="n"/>
    </row>
    <row r="479">
      <c r="A479" s="4" t="n"/>
      <c r="D479" s="7" t="n"/>
    </row>
    <row r="480">
      <c r="A480" s="4" t="n"/>
      <c r="D480" s="7" t="n"/>
    </row>
    <row r="481">
      <c r="A481" s="4" t="n"/>
      <c r="D481" s="7" t="n"/>
    </row>
    <row r="482">
      <c r="A482" s="4" t="n"/>
      <c r="D482" s="7" t="n"/>
    </row>
    <row r="483">
      <c r="A483" s="4" t="n"/>
      <c r="D483" s="7" t="n"/>
    </row>
    <row r="484">
      <c r="A484" s="4" t="n"/>
      <c r="D484" s="7" t="n"/>
    </row>
    <row r="485">
      <c r="A485" s="4" t="n"/>
      <c r="D485" s="7" t="n"/>
    </row>
    <row r="486">
      <c r="A486" s="4" t="n"/>
      <c r="D486" s="7" t="n"/>
    </row>
    <row r="487">
      <c r="A487" s="4" t="n"/>
      <c r="D487" s="7" t="n"/>
    </row>
    <row r="488">
      <c r="A488" s="4" t="n"/>
      <c r="D488" s="7" t="n"/>
    </row>
    <row r="489">
      <c r="A489" s="4" t="n"/>
      <c r="D489" s="7" t="n"/>
    </row>
    <row r="490">
      <c r="A490" s="4" t="n"/>
      <c r="D490" s="7" t="n"/>
    </row>
    <row r="491">
      <c r="A491" s="4" t="n"/>
      <c r="D491" s="7" t="n"/>
    </row>
    <row r="492">
      <c r="A492" s="4" t="n"/>
      <c r="D492" s="7" t="n"/>
    </row>
    <row r="493">
      <c r="A493" s="4" t="n"/>
      <c r="D493" s="7" t="n"/>
    </row>
    <row r="494">
      <c r="A494" s="4" t="n"/>
      <c r="D494" s="7" t="n"/>
    </row>
    <row r="495">
      <c r="A495" s="4" t="n"/>
      <c r="D495" s="7" t="n"/>
    </row>
    <row r="496">
      <c r="A496" s="4" t="n"/>
      <c r="D496" s="7" t="n"/>
    </row>
    <row r="497">
      <c r="A497" s="4" t="n"/>
      <c r="D497" s="7" t="n"/>
    </row>
    <row r="498">
      <c r="A498" s="4" t="n"/>
      <c r="D498" s="7" t="n"/>
    </row>
    <row r="499">
      <c r="A499" s="4" t="n"/>
      <c r="D499" s="7" t="n"/>
    </row>
    <row r="500">
      <c r="A500" s="4" t="n"/>
      <c r="D500" s="7" t="n"/>
    </row>
  </sheetData>
  <dataValidations count="2">
    <dataValidation sqref="B2:B500" showDropDown="0" showInputMessage="0" showErrorMessage="0" allowBlank="1" type="list">
      <formula1>=Списки!$B$2:$B$3</formula1>
    </dataValidation>
    <dataValidation sqref="C2:C500" showDropDown="0" showInputMessage="0" showErrorMessage="0" allowBlank="1" type="list">
      <formula1>=Списки!$A$2:$A$19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2" customWidth="1" min="3" max="3"/>
    <col width="12" customWidth="1" min="4" max="4"/>
    <col width="14" customWidth="1" min="5" max="5"/>
    <col width="20" customWidth="1" min="6" max="6"/>
    <col width="30" customWidth="1" min="7" max="7"/>
  </cols>
  <sheetData>
    <row r="1">
      <c r="A1" s="1" t="inlineStr">
        <is>
          <t>Название</t>
        </is>
      </c>
      <c r="B1" s="1" t="inlineStr">
        <is>
          <t>Сумма (€)</t>
        </is>
      </c>
      <c r="C1" s="1" t="inlineStr">
        <is>
          <t>Период</t>
        </is>
      </c>
      <c r="D1" s="1" t="inlineStr">
        <is>
          <t>Включена</t>
        </is>
      </c>
      <c r="E1" s="1" t="inlineStr">
        <is>
          <t>В месяц (€)</t>
        </is>
      </c>
      <c r="F1" s="1" t="inlineStr">
        <is>
          <t>Дата след. списания</t>
        </is>
      </c>
      <c r="G1" s="1" t="inlineStr">
        <is>
          <t>Комментарий</t>
        </is>
      </c>
    </row>
    <row r="2">
      <c r="B2" s="7" t="n"/>
      <c r="E2" s="7">
        <f>IF(OR(A2="",D2="Нет"),0,IF(C2="в год",B2/12,B2))</f>
        <v/>
      </c>
      <c r="F2" s="4" t="n"/>
    </row>
    <row r="3">
      <c r="B3" s="7" t="n"/>
      <c r="E3" s="7">
        <f>IF(OR(A3="",D3="Нет"),0,IF(C3="в год",B3/12,B3))</f>
        <v/>
      </c>
      <c r="F3" s="4" t="n"/>
    </row>
    <row r="4">
      <c r="B4" s="7" t="n"/>
      <c r="E4" s="7">
        <f>IF(OR(A4="",D4="Нет"),0,IF(C4="в год",B4/12,B4))</f>
        <v/>
      </c>
      <c r="F4" s="4" t="n"/>
    </row>
    <row r="5">
      <c r="B5" s="7" t="n"/>
      <c r="E5" s="7">
        <f>IF(OR(A5="",D5="Нет"),0,IF(C5="в год",B5/12,B5))</f>
        <v/>
      </c>
      <c r="F5" s="4" t="n"/>
    </row>
    <row r="6">
      <c r="B6" s="7" t="n"/>
      <c r="E6" s="7">
        <f>IF(OR(A6="",D6="Нет"),0,IF(C6="в год",B6/12,B6))</f>
        <v/>
      </c>
      <c r="F6" s="4" t="n"/>
    </row>
    <row r="7">
      <c r="B7" s="7" t="n"/>
      <c r="E7" s="7">
        <f>IF(OR(A7="",D7="Нет"),0,IF(C7="в год",B7/12,B7))</f>
        <v/>
      </c>
      <c r="F7" s="4" t="n"/>
    </row>
    <row r="8">
      <c r="B8" s="7" t="n"/>
      <c r="E8" s="7">
        <f>IF(OR(A8="",D8="Нет"),0,IF(C8="в год",B8/12,B8))</f>
        <v/>
      </c>
      <c r="F8" s="4" t="n"/>
    </row>
    <row r="9">
      <c r="B9" s="7" t="n"/>
      <c r="E9" s="7">
        <f>IF(OR(A9="",D9="Нет"),0,IF(C9="в год",B9/12,B9))</f>
        <v/>
      </c>
      <c r="F9" s="4" t="n"/>
    </row>
    <row r="10">
      <c r="B10" s="7" t="n"/>
      <c r="E10" s="7">
        <f>IF(OR(A10="",D10="Нет"),0,IF(C10="в год",B10/12,B10))</f>
        <v/>
      </c>
      <c r="F10" s="4" t="n"/>
    </row>
    <row r="11">
      <c r="B11" s="7" t="n"/>
      <c r="E11" s="7">
        <f>IF(OR(A11="",D11="Нет"),0,IF(C11="в год",B11/12,B11))</f>
        <v/>
      </c>
      <c r="F11" s="4" t="n"/>
    </row>
    <row r="12">
      <c r="B12" s="7" t="n"/>
      <c r="E12" s="7">
        <f>IF(OR(A12="",D12="Нет"),0,IF(C12="в год",B12/12,B12))</f>
        <v/>
      </c>
      <c r="F12" s="4" t="n"/>
    </row>
    <row r="13">
      <c r="B13" s="7" t="n"/>
      <c r="E13" s="7">
        <f>IF(OR(A13="",D13="Нет"),0,IF(C13="в год",B13/12,B13))</f>
        <v/>
      </c>
      <c r="F13" s="4" t="n"/>
    </row>
    <row r="14">
      <c r="B14" s="7" t="n"/>
      <c r="E14" s="7">
        <f>IF(OR(A14="",D14="Нет"),0,IF(C14="в год",B14/12,B14))</f>
        <v/>
      </c>
      <c r="F14" s="4" t="n"/>
    </row>
    <row r="15">
      <c r="B15" s="7" t="n"/>
      <c r="E15" s="7">
        <f>IF(OR(A15="",D15="Нет"),0,IF(C15="в год",B15/12,B15))</f>
        <v/>
      </c>
      <c r="F15" s="4" t="n"/>
    </row>
    <row r="16">
      <c r="B16" s="7" t="n"/>
      <c r="E16" s="7">
        <f>IF(OR(A16="",D16="Нет"),0,IF(C16="в год",B16/12,B16))</f>
        <v/>
      </c>
      <c r="F16" s="4" t="n"/>
    </row>
    <row r="17">
      <c r="B17" s="7" t="n"/>
      <c r="E17" s="7">
        <f>IF(OR(A17="",D17="Нет"),0,IF(C17="в год",B17/12,B17))</f>
        <v/>
      </c>
      <c r="F17" s="4" t="n"/>
    </row>
    <row r="18">
      <c r="B18" s="7" t="n"/>
      <c r="E18" s="7">
        <f>IF(OR(A18="",D18="Нет"),0,IF(C18="в год",B18/12,B18))</f>
        <v/>
      </c>
      <c r="F18" s="4" t="n"/>
    </row>
    <row r="19">
      <c r="B19" s="7" t="n"/>
      <c r="E19" s="7">
        <f>IF(OR(A19="",D19="Нет"),0,IF(C19="в год",B19/12,B19))</f>
        <v/>
      </c>
      <c r="F19" s="4" t="n"/>
    </row>
    <row r="20">
      <c r="B20" s="7" t="n"/>
      <c r="E20" s="7">
        <f>IF(OR(A20="",D20="Нет"),0,IF(C20="в год",B20/12,B20))</f>
        <v/>
      </c>
      <c r="F20" s="4" t="n"/>
    </row>
    <row r="21">
      <c r="B21" s="7" t="n"/>
      <c r="E21" s="7">
        <f>IF(OR(A21="",D21="Нет"),0,IF(C21="в год",B21/12,B21))</f>
        <v/>
      </c>
      <c r="F21" s="4" t="n"/>
    </row>
    <row r="22">
      <c r="B22" s="7" t="n"/>
      <c r="E22" s="7">
        <f>IF(OR(A22="",D22="Нет"),0,IF(C22="в год",B22/12,B22))</f>
        <v/>
      </c>
      <c r="F22" s="4" t="n"/>
    </row>
    <row r="23">
      <c r="B23" s="7" t="n"/>
      <c r="E23" s="7">
        <f>IF(OR(A23="",D23="Нет"),0,IF(C23="в год",B23/12,B23))</f>
        <v/>
      </c>
      <c r="F23" s="4" t="n"/>
    </row>
    <row r="24">
      <c r="B24" s="7" t="n"/>
      <c r="E24" s="7">
        <f>IF(OR(A24="",D24="Нет"),0,IF(C24="в год",B24/12,B24))</f>
        <v/>
      </c>
      <c r="F24" s="4" t="n"/>
    </row>
    <row r="25">
      <c r="B25" s="7" t="n"/>
      <c r="E25" s="7">
        <f>IF(OR(A25="",D25="Нет"),0,IF(C25="в год",B25/12,B25))</f>
        <v/>
      </c>
      <c r="F25" s="4" t="n"/>
    </row>
    <row r="26">
      <c r="B26" s="7" t="n"/>
      <c r="E26" s="7">
        <f>IF(OR(A26="",D26="Нет"),0,IF(C26="в год",B26/12,B26))</f>
        <v/>
      </c>
      <c r="F26" s="4" t="n"/>
    </row>
    <row r="27">
      <c r="B27" s="7" t="n"/>
      <c r="E27" s="7">
        <f>IF(OR(A27="",D27="Нет"),0,IF(C27="в год",B27/12,B27))</f>
        <v/>
      </c>
      <c r="F27" s="4" t="n"/>
    </row>
    <row r="28">
      <c r="B28" s="7" t="n"/>
      <c r="E28" s="7">
        <f>IF(OR(A28="",D28="Нет"),0,IF(C28="в год",B28/12,B28))</f>
        <v/>
      </c>
      <c r="F28" s="4" t="n"/>
    </row>
    <row r="29">
      <c r="B29" s="7" t="n"/>
      <c r="E29" s="7">
        <f>IF(OR(A29="",D29="Нет"),0,IF(C29="в год",B29/12,B29))</f>
        <v/>
      </c>
      <c r="F29" s="4" t="n"/>
    </row>
    <row r="30">
      <c r="B30" s="7" t="n"/>
      <c r="E30" s="7">
        <f>IF(OR(A30="",D30="Нет"),0,IF(C30="в год",B30/12,B30))</f>
        <v/>
      </c>
      <c r="F30" s="4" t="n"/>
    </row>
    <row r="31">
      <c r="B31" s="7" t="n"/>
      <c r="E31" s="7">
        <f>IF(OR(A31="",D31="Нет"),0,IF(C31="в год",B31/12,B31))</f>
        <v/>
      </c>
      <c r="F31" s="4" t="n"/>
    </row>
    <row r="32">
      <c r="B32" s="7" t="n"/>
      <c r="E32" s="7">
        <f>IF(OR(A32="",D32="Нет"),0,IF(C32="в год",B32/12,B32))</f>
        <v/>
      </c>
      <c r="F32" s="4" t="n"/>
    </row>
    <row r="33">
      <c r="B33" s="7" t="n"/>
      <c r="E33" s="7">
        <f>IF(OR(A33="",D33="Нет"),0,IF(C33="в год",B33/12,B33))</f>
        <v/>
      </c>
      <c r="F33" s="4" t="n"/>
    </row>
    <row r="34">
      <c r="B34" s="7" t="n"/>
      <c r="E34" s="7">
        <f>IF(OR(A34="",D34="Нет"),0,IF(C34="в год",B34/12,B34))</f>
        <v/>
      </c>
      <c r="F34" s="4" t="n"/>
    </row>
    <row r="35">
      <c r="B35" s="7" t="n"/>
      <c r="E35" s="7">
        <f>IF(OR(A35="",D35="Нет"),0,IF(C35="в год",B35/12,B35))</f>
        <v/>
      </c>
      <c r="F35" s="4" t="n"/>
    </row>
    <row r="36">
      <c r="B36" s="7" t="n"/>
      <c r="E36" s="7">
        <f>IF(OR(A36="",D36="Нет"),0,IF(C36="в год",B36/12,B36))</f>
        <v/>
      </c>
      <c r="F36" s="4" t="n"/>
    </row>
    <row r="37">
      <c r="B37" s="7" t="n"/>
      <c r="E37" s="7">
        <f>IF(OR(A37="",D37="Нет"),0,IF(C37="в год",B37/12,B37))</f>
        <v/>
      </c>
      <c r="F37" s="4" t="n"/>
    </row>
    <row r="38">
      <c r="B38" s="7" t="n"/>
      <c r="E38" s="7">
        <f>IF(OR(A38="",D38="Нет"),0,IF(C38="в год",B38/12,B38))</f>
        <v/>
      </c>
      <c r="F38" s="4" t="n"/>
    </row>
    <row r="39">
      <c r="B39" s="7" t="n"/>
      <c r="E39" s="7">
        <f>IF(OR(A39="",D39="Нет"),0,IF(C39="в год",B39/12,B39))</f>
        <v/>
      </c>
      <c r="F39" s="4" t="n"/>
    </row>
    <row r="40">
      <c r="B40" s="7" t="n"/>
      <c r="E40" s="7">
        <f>IF(OR(A40="",D40="Нет"),0,IF(C40="в год",B40/12,B40))</f>
        <v/>
      </c>
      <c r="F40" s="4" t="n"/>
    </row>
    <row r="41">
      <c r="B41" s="7" t="n"/>
      <c r="E41" s="7">
        <f>IF(OR(A41="",D41="Нет"),0,IF(C41="в год",B41/12,B41))</f>
        <v/>
      </c>
      <c r="F41" s="4" t="n"/>
    </row>
    <row r="42">
      <c r="B42" s="7" t="n"/>
      <c r="E42" s="7">
        <f>IF(OR(A42="",D42="Нет"),0,IF(C42="в год",B42/12,B42))</f>
        <v/>
      </c>
      <c r="F42" s="4" t="n"/>
    </row>
    <row r="43">
      <c r="B43" s="7" t="n"/>
      <c r="E43" s="7">
        <f>IF(OR(A43="",D43="Нет"),0,IF(C43="в год",B43/12,B43))</f>
        <v/>
      </c>
      <c r="F43" s="4" t="n"/>
    </row>
    <row r="44">
      <c r="B44" s="7" t="n"/>
      <c r="E44" s="7">
        <f>IF(OR(A44="",D44="Нет"),0,IF(C44="в год",B44/12,B44))</f>
        <v/>
      </c>
      <c r="F44" s="4" t="n"/>
    </row>
    <row r="45">
      <c r="B45" s="7" t="n"/>
      <c r="E45" s="7">
        <f>IF(OR(A45="",D45="Нет"),0,IF(C45="в год",B45/12,B45))</f>
        <v/>
      </c>
      <c r="F45" s="4" t="n"/>
    </row>
    <row r="46">
      <c r="B46" s="7" t="n"/>
      <c r="E46" s="7">
        <f>IF(OR(A46="",D46="Нет"),0,IF(C46="в год",B46/12,B46))</f>
        <v/>
      </c>
      <c r="F46" s="4" t="n"/>
    </row>
    <row r="47">
      <c r="B47" s="7" t="n"/>
      <c r="E47" s="7">
        <f>IF(OR(A47="",D47="Нет"),0,IF(C47="в год",B47/12,B47))</f>
        <v/>
      </c>
      <c r="F47" s="4" t="n"/>
    </row>
    <row r="48">
      <c r="B48" s="7" t="n"/>
      <c r="E48" s="7">
        <f>IF(OR(A48="",D48="Нет"),0,IF(C48="в год",B48/12,B48))</f>
        <v/>
      </c>
      <c r="F48" s="4" t="n"/>
    </row>
    <row r="49">
      <c r="B49" s="7" t="n"/>
      <c r="E49" s="7">
        <f>IF(OR(A49="",D49="Нет"),0,IF(C49="в год",B49/12,B49))</f>
        <v/>
      </c>
      <c r="F49" s="4" t="n"/>
    </row>
    <row r="50">
      <c r="B50" s="7" t="n"/>
      <c r="E50" s="7">
        <f>IF(OR(A50="",D50="Нет"),0,IF(C50="в год",B50/12,B50))</f>
        <v/>
      </c>
      <c r="F50" s="4" t="n"/>
    </row>
    <row r="51">
      <c r="B51" s="7" t="n"/>
      <c r="E51" s="7">
        <f>IF(OR(A51="",D51="Нет"),0,IF(C51="в год",B51/12,B51))</f>
        <v/>
      </c>
      <c r="F51" s="4" t="n"/>
    </row>
    <row r="52">
      <c r="B52" s="7" t="n"/>
      <c r="E52" s="7">
        <f>IF(OR(A52="",D52="Нет"),0,IF(C52="в год",B52/12,B52))</f>
        <v/>
      </c>
      <c r="F52" s="4" t="n"/>
    </row>
    <row r="53">
      <c r="B53" s="7" t="n"/>
      <c r="E53" s="7">
        <f>IF(OR(A53="",D53="Нет"),0,IF(C53="в год",B53/12,B53))</f>
        <v/>
      </c>
      <c r="F53" s="4" t="n"/>
    </row>
    <row r="54">
      <c r="B54" s="7" t="n"/>
      <c r="E54" s="7">
        <f>IF(OR(A54="",D54="Нет"),0,IF(C54="в год",B54/12,B54))</f>
        <v/>
      </c>
      <c r="F54" s="4" t="n"/>
    </row>
    <row r="55">
      <c r="B55" s="7" t="n"/>
      <c r="E55" s="7">
        <f>IF(OR(A55="",D55="Нет"),0,IF(C55="в год",B55/12,B55))</f>
        <v/>
      </c>
      <c r="F55" s="4" t="n"/>
    </row>
    <row r="56">
      <c r="B56" s="7" t="n"/>
      <c r="E56" s="7">
        <f>IF(OR(A56="",D56="Нет"),0,IF(C56="в год",B56/12,B56))</f>
        <v/>
      </c>
      <c r="F56" s="4" t="n"/>
    </row>
    <row r="57">
      <c r="B57" s="7" t="n"/>
      <c r="E57" s="7">
        <f>IF(OR(A57="",D57="Нет"),0,IF(C57="в год",B57/12,B57))</f>
        <v/>
      </c>
      <c r="F57" s="4" t="n"/>
    </row>
    <row r="58">
      <c r="B58" s="7" t="n"/>
      <c r="E58" s="7">
        <f>IF(OR(A58="",D58="Нет"),0,IF(C58="в год",B58/12,B58))</f>
        <v/>
      </c>
      <c r="F58" s="4" t="n"/>
    </row>
    <row r="59">
      <c r="B59" s="7" t="n"/>
      <c r="E59" s="7">
        <f>IF(OR(A59="",D59="Нет"),0,IF(C59="в год",B59/12,B59))</f>
        <v/>
      </c>
      <c r="F59" s="4" t="n"/>
    </row>
    <row r="60">
      <c r="B60" s="7" t="n"/>
      <c r="E60" s="7">
        <f>IF(OR(A60="",D60="Нет"),0,IF(C60="в год",B60/12,B60))</f>
        <v/>
      </c>
      <c r="F60" s="4" t="n"/>
    </row>
    <row r="61">
      <c r="B61" s="7" t="n"/>
      <c r="E61" s="7">
        <f>IF(OR(A61="",D61="Нет"),0,IF(C61="в год",B61/12,B61))</f>
        <v/>
      </c>
      <c r="F61" s="4" t="n"/>
    </row>
    <row r="62">
      <c r="B62" s="7" t="n"/>
      <c r="E62" s="7">
        <f>IF(OR(A62="",D62="Нет"),0,IF(C62="в год",B62/12,B62))</f>
        <v/>
      </c>
      <c r="F62" s="4" t="n"/>
    </row>
    <row r="63">
      <c r="B63" s="7" t="n"/>
      <c r="E63" s="7">
        <f>IF(OR(A63="",D63="Нет"),0,IF(C63="в год",B63/12,B63))</f>
        <v/>
      </c>
      <c r="F63" s="4" t="n"/>
    </row>
    <row r="64">
      <c r="B64" s="7" t="n"/>
      <c r="E64" s="7">
        <f>IF(OR(A64="",D64="Нет"),0,IF(C64="в год",B64/12,B64))</f>
        <v/>
      </c>
      <c r="F64" s="4" t="n"/>
    </row>
    <row r="65">
      <c r="B65" s="7" t="n"/>
      <c r="E65" s="7">
        <f>IF(OR(A65="",D65="Нет"),0,IF(C65="в год",B65/12,B65))</f>
        <v/>
      </c>
      <c r="F65" s="4" t="n"/>
    </row>
    <row r="66">
      <c r="B66" s="7" t="n"/>
      <c r="E66" s="7">
        <f>IF(OR(A66="",D66="Нет"),0,IF(C66="в год",B66/12,B66))</f>
        <v/>
      </c>
      <c r="F66" s="4" t="n"/>
    </row>
    <row r="67">
      <c r="B67" s="7" t="n"/>
      <c r="E67" s="7">
        <f>IF(OR(A67="",D67="Нет"),0,IF(C67="в год",B67/12,B67))</f>
        <v/>
      </c>
      <c r="F67" s="4" t="n"/>
    </row>
    <row r="68">
      <c r="B68" s="7" t="n"/>
      <c r="E68" s="7">
        <f>IF(OR(A68="",D68="Нет"),0,IF(C68="в год",B68/12,B68))</f>
        <v/>
      </c>
      <c r="F68" s="4" t="n"/>
    </row>
    <row r="69">
      <c r="B69" s="7" t="n"/>
      <c r="E69" s="7">
        <f>IF(OR(A69="",D69="Нет"),0,IF(C69="в год",B69/12,B69))</f>
        <v/>
      </c>
      <c r="F69" s="4" t="n"/>
    </row>
    <row r="70">
      <c r="B70" s="7" t="n"/>
      <c r="E70" s="7">
        <f>IF(OR(A70="",D70="Нет"),0,IF(C70="в год",B70/12,B70))</f>
        <v/>
      </c>
      <c r="F70" s="4" t="n"/>
    </row>
    <row r="71">
      <c r="B71" s="7" t="n"/>
      <c r="E71" s="7">
        <f>IF(OR(A71="",D71="Нет"),0,IF(C71="в год",B71/12,B71))</f>
        <v/>
      </c>
      <c r="F71" s="4" t="n"/>
    </row>
    <row r="72">
      <c r="B72" s="7" t="n"/>
      <c r="E72" s="7">
        <f>IF(OR(A72="",D72="Нет"),0,IF(C72="в год",B72/12,B72))</f>
        <v/>
      </c>
      <c r="F72" s="4" t="n"/>
    </row>
    <row r="73">
      <c r="B73" s="7" t="n"/>
      <c r="E73" s="7">
        <f>IF(OR(A73="",D73="Нет"),0,IF(C73="в год",B73/12,B73))</f>
        <v/>
      </c>
      <c r="F73" s="4" t="n"/>
    </row>
    <row r="74">
      <c r="B74" s="7" t="n"/>
      <c r="E74" s="7">
        <f>IF(OR(A74="",D74="Нет"),0,IF(C74="в год",B74/12,B74))</f>
        <v/>
      </c>
      <c r="F74" s="4" t="n"/>
    </row>
    <row r="75">
      <c r="B75" s="7" t="n"/>
      <c r="E75" s="7">
        <f>IF(OR(A75="",D75="Нет"),0,IF(C75="в год",B75/12,B75))</f>
        <v/>
      </c>
      <c r="F75" s="4" t="n"/>
    </row>
    <row r="76">
      <c r="B76" s="7" t="n"/>
      <c r="E76" s="7">
        <f>IF(OR(A76="",D76="Нет"),0,IF(C76="в год",B76/12,B76))</f>
        <v/>
      </c>
      <c r="F76" s="4" t="n"/>
    </row>
    <row r="77">
      <c r="B77" s="7" t="n"/>
      <c r="E77" s="7">
        <f>IF(OR(A77="",D77="Нет"),0,IF(C77="в год",B77/12,B77))</f>
        <v/>
      </c>
      <c r="F77" s="4" t="n"/>
    </row>
    <row r="78">
      <c r="B78" s="7" t="n"/>
      <c r="E78" s="7">
        <f>IF(OR(A78="",D78="Нет"),0,IF(C78="в год",B78/12,B78))</f>
        <v/>
      </c>
      <c r="F78" s="4" t="n"/>
    </row>
    <row r="79">
      <c r="B79" s="7" t="n"/>
      <c r="E79" s="7">
        <f>IF(OR(A79="",D79="Нет"),0,IF(C79="в год",B79/12,B79))</f>
        <v/>
      </c>
      <c r="F79" s="4" t="n"/>
    </row>
    <row r="80">
      <c r="B80" s="7" t="n"/>
      <c r="E80" s="7">
        <f>IF(OR(A80="",D80="Нет"),0,IF(C80="в год",B80/12,B80))</f>
        <v/>
      </c>
      <c r="F80" s="4" t="n"/>
    </row>
    <row r="81">
      <c r="B81" s="7" t="n"/>
      <c r="E81" s="7">
        <f>IF(OR(A81="",D81="Нет"),0,IF(C81="в год",B81/12,B81))</f>
        <v/>
      </c>
      <c r="F81" s="4" t="n"/>
    </row>
    <row r="82">
      <c r="B82" s="7" t="n"/>
      <c r="E82" s="7">
        <f>IF(OR(A82="",D82="Нет"),0,IF(C82="в год",B82/12,B82))</f>
        <v/>
      </c>
      <c r="F82" s="4" t="n"/>
    </row>
    <row r="83">
      <c r="B83" s="7" t="n"/>
      <c r="E83" s="7">
        <f>IF(OR(A83="",D83="Нет"),0,IF(C83="в год",B83/12,B83))</f>
        <v/>
      </c>
      <c r="F83" s="4" t="n"/>
    </row>
    <row r="84">
      <c r="B84" s="7" t="n"/>
      <c r="E84" s="7">
        <f>IF(OR(A84="",D84="Нет"),0,IF(C84="в год",B84/12,B84))</f>
        <v/>
      </c>
      <c r="F84" s="4" t="n"/>
    </row>
    <row r="85">
      <c r="B85" s="7" t="n"/>
      <c r="E85" s="7">
        <f>IF(OR(A85="",D85="Нет"),0,IF(C85="в год",B85/12,B85))</f>
        <v/>
      </c>
      <c r="F85" s="4" t="n"/>
    </row>
    <row r="86">
      <c r="B86" s="7" t="n"/>
      <c r="E86" s="7">
        <f>IF(OR(A86="",D86="Нет"),0,IF(C86="в год",B86/12,B86))</f>
        <v/>
      </c>
      <c r="F86" s="4" t="n"/>
    </row>
    <row r="87">
      <c r="B87" s="7" t="n"/>
      <c r="E87" s="7">
        <f>IF(OR(A87="",D87="Нет"),0,IF(C87="в год",B87/12,B87))</f>
        <v/>
      </c>
      <c r="F87" s="4" t="n"/>
    </row>
    <row r="88">
      <c r="B88" s="7" t="n"/>
      <c r="E88" s="7">
        <f>IF(OR(A88="",D88="Нет"),0,IF(C88="в год",B88/12,B88))</f>
        <v/>
      </c>
      <c r="F88" s="4" t="n"/>
    </row>
    <row r="89">
      <c r="B89" s="7" t="n"/>
      <c r="E89" s="7">
        <f>IF(OR(A89="",D89="Нет"),0,IF(C89="в год",B89/12,B89))</f>
        <v/>
      </c>
      <c r="F89" s="4" t="n"/>
    </row>
    <row r="90">
      <c r="B90" s="7" t="n"/>
      <c r="E90" s="7">
        <f>IF(OR(A90="",D90="Нет"),0,IF(C90="в год",B90/12,B90))</f>
        <v/>
      </c>
      <c r="F90" s="4" t="n"/>
    </row>
    <row r="91">
      <c r="B91" s="7" t="n"/>
      <c r="E91" s="7">
        <f>IF(OR(A91="",D91="Нет"),0,IF(C91="в год",B91/12,B91))</f>
        <v/>
      </c>
      <c r="F91" s="4" t="n"/>
    </row>
    <row r="92">
      <c r="B92" s="7" t="n"/>
      <c r="E92" s="7">
        <f>IF(OR(A92="",D92="Нет"),0,IF(C92="в год",B92/12,B92))</f>
        <v/>
      </c>
      <c r="F92" s="4" t="n"/>
    </row>
    <row r="93">
      <c r="B93" s="7" t="n"/>
      <c r="E93" s="7">
        <f>IF(OR(A93="",D93="Нет"),0,IF(C93="в год",B93/12,B93))</f>
        <v/>
      </c>
      <c r="F93" s="4" t="n"/>
    </row>
    <row r="94">
      <c r="B94" s="7" t="n"/>
      <c r="E94" s="7">
        <f>IF(OR(A94="",D94="Нет"),0,IF(C94="в год",B94/12,B94))</f>
        <v/>
      </c>
      <c r="F94" s="4" t="n"/>
    </row>
    <row r="95">
      <c r="B95" s="7" t="n"/>
      <c r="E95" s="7">
        <f>IF(OR(A95="",D95="Нет"),0,IF(C95="в год",B95/12,B95))</f>
        <v/>
      </c>
      <c r="F95" s="4" t="n"/>
    </row>
    <row r="96">
      <c r="B96" s="7" t="n"/>
      <c r="E96" s="7">
        <f>IF(OR(A96="",D96="Нет"),0,IF(C96="в год",B96/12,B96))</f>
        <v/>
      </c>
      <c r="F96" s="4" t="n"/>
    </row>
    <row r="97">
      <c r="B97" s="7" t="n"/>
      <c r="E97" s="7">
        <f>IF(OR(A97="",D97="Нет"),0,IF(C97="в год",B97/12,B97))</f>
        <v/>
      </c>
      <c r="F97" s="4" t="n"/>
    </row>
    <row r="98">
      <c r="B98" s="7" t="n"/>
      <c r="E98" s="7">
        <f>IF(OR(A98="",D98="Нет"),0,IF(C98="в год",B98/12,B98))</f>
        <v/>
      </c>
      <c r="F98" s="4" t="n"/>
    </row>
    <row r="99">
      <c r="B99" s="7" t="n"/>
      <c r="E99" s="7">
        <f>IF(OR(A99="",D99="Нет"),0,IF(C99="в год",B99/12,B99))</f>
        <v/>
      </c>
      <c r="F99" s="4" t="n"/>
    </row>
    <row r="100">
      <c r="B100" s="7" t="n"/>
      <c r="E100" s="7">
        <f>IF(OR(A100="",D100="Нет"),0,IF(C100="в год",B100/12,B100))</f>
        <v/>
      </c>
      <c r="F100" s="4" t="n"/>
    </row>
    <row r="101">
      <c r="B101" s="7" t="n"/>
      <c r="E101" s="7">
        <f>IF(OR(A101="",D101="Нет"),0,IF(C101="в год",B101/12,B101))</f>
        <v/>
      </c>
      <c r="F101" s="4" t="n"/>
    </row>
    <row r="102">
      <c r="B102" s="7" t="n"/>
      <c r="E102" s="7">
        <f>IF(OR(A102="",D102="Нет"),0,IF(C102="в год",B102/12,B102))</f>
        <v/>
      </c>
      <c r="F102" s="4" t="n"/>
    </row>
    <row r="103">
      <c r="B103" s="7" t="n"/>
      <c r="E103" s="7">
        <f>IF(OR(A103="",D103="Нет"),0,IF(C103="в год",B103/12,B103))</f>
        <v/>
      </c>
      <c r="F103" s="4" t="n"/>
    </row>
    <row r="104">
      <c r="B104" s="7" t="n"/>
      <c r="E104" s="7">
        <f>IF(OR(A104="",D104="Нет"),0,IF(C104="в год",B104/12,B104))</f>
        <v/>
      </c>
      <c r="F104" s="4" t="n"/>
    </row>
    <row r="105">
      <c r="B105" s="7" t="n"/>
      <c r="E105" s="7">
        <f>IF(OR(A105="",D105="Нет"),0,IF(C105="в год",B105/12,B105))</f>
        <v/>
      </c>
      <c r="F105" s="4" t="n"/>
    </row>
    <row r="106">
      <c r="B106" s="7" t="n"/>
      <c r="E106" s="7">
        <f>IF(OR(A106="",D106="Нет"),0,IF(C106="в год",B106/12,B106))</f>
        <v/>
      </c>
      <c r="F106" s="4" t="n"/>
    </row>
    <row r="107">
      <c r="B107" s="7" t="n"/>
      <c r="E107" s="7">
        <f>IF(OR(A107="",D107="Нет"),0,IF(C107="в год",B107/12,B107))</f>
        <v/>
      </c>
      <c r="F107" s="4" t="n"/>
    </row>
    <row r="108">
      <c r="B108" s="7" t="n"/>
      <c r="E108" s="7">
        <f>IF(OR(A108="",D108="Нет"),0,IF(C108="в год",B108/12,B108))</f>
        <v/>
      </c>
      <c r="F108" s="4" t="n"/>
    </row>
    <row r="109">
      <c r="B109" s="7" t="n"/>
      <c r="E109" s="7">
        <f>IF(OR(A109="",D109="Нет"),0,IF(C109="в год",B109/12,B109))</f>
        <v/>
      </c>
      <c r="F109" s="4" t="n"/>
    </row>
    <row r="110">
      <c r="B110" s="7" t="n"/>
      <c r="E110" s="7">
        <f>IF(OR(A110="",D110="Нет"),0,IF(C110="в год",B110/12,B110))</f>
        <v/>
      </c>
      <c r="F110" s="4" t="n"/>
    </row>
    <row r="111">
      <c r="B111" s="7" t="n"/>
      <c r="E111" s="7">
        <f>IF(OR(A111="",D111="Нет"),0,IF(C111="в год",B111/12,B111))</f>
        <v/>
      </c>
      <c r="F111" s="4" t="n"/>
    </row>
    <row r="112">
      <c r="B112" s="7" t="n"/>
      <c r="E112" s="7">
        <f>IF(OR(A112="",D112="Нет"),0,IF(C112="в год",B112/12,B112))</f>
        <v/>
      </c>
      <c r="F112" s="4" t="n"/>
    </row>
    <row r="113">
      <c r="B113" s="7" t="n"/>
      <c r="E113" s="7">
        <f>IF(OR(A113="",D113="Нет"),0,IF(C113="в год",B113/12,B113))</f>
        <v/>
      </c>
      <c r="F113" s="4" t="n"/>
    </row>
    <row r="114">
      <c r="B114" s="7" t="n"/>
      <c r="E114" s="7">
        <f>IF(OR(A114="",D114="Нет"),0,IF(C114="в год",B114/12,B114))</f>
        <v/>
      </c>
      <c r="F114" s="4" t="n"/>
    </row>
    <row r="115">
      <c r="B115" s="7" t="n"/>
      <c r="E115" s="7">
        <f>IF(OR(A115="",D115="Нет"),0,IF(C115="в год",B115/12,B115))</f>
        <v/>
      </c>
      <c r="F115" s="4" t="n"/>
    </row>
    <row r="116">
      <c r="B116" s="7" t="n"/>
      <c r="E116" s="7">
        <f>IF(OR(A116="",D116="Нет"),0,IF(C116="в год",B116/12,B116))</f>
        <v/>
      </c>
      <c r="F116" s="4" t="n"/>
    </row>
    <row r="117">
      <c r="B117" s="7" t="n"/>
      <c r="E117" s="7">
        <f>IF(OR(A117="",D117="Нет"),0,IF(C117="в год",B117/12,B117))</f>
        <v/>
      </c>
      <c r="F117" s="4" t="n"/>
    </row>
    <row r="118">
      <c r="B118" s="7" t="n"/>
      <c r="E118" s="7">
        <f>IF(OR(A118="",D118="Нет"),0,IF(C118="в год",B118/12,B118))</f>
        <v/>
      </c>
      <c r="F118" s="4" t="n"/>
    </row>
    <row r="119">
      <c r="B119" s="7" t="n"/>
      <c r="E119" s="7">
        <f>IF(OR(A119="",D119="Нет"),0,IF(C119="в год",B119/12,B119))</f>
        <v/>
      </c>
      <c r="F119" s="4" t="n"/>
    </row>
    <row r="120">
      <c r="B120" s="7" t="n"/>
      <c r="E120" s="7">
        <f>IF(OR(A120="",D120="Нет"),0,IF(C120="в год",B120/12,B120))</f>
        <v/>
      </c>
      <c r="F120" s="4" t="n"/>
    </row>
    <row r="121">
      <c r="B121" s="7" t="n"/>
      <c r="E121" s="7">
        <f>IF(OR(A121="",D121="Нет"),0,IF(C121="в год",B121/12,B121))</f>
        <v/>
      </c>
      <c r="F121" s="4" t="n"/>
    </row>
    <row r="122">
      <c r="B122" s="7" t="n"/>
      <c r="E122" s="7">
        <f>IF(OR(A122="",D122="Нет"),0,IF(C122="в год",B122/12,B122))</f>
        <v/>
      </c>
      <c r="F122" s="4" t="n"/>
    </row>
    <row r="123">
      <c r="B123" s="7" t="n"/>
      <c r="E123" s="7">
        <f>IF(OR(A123="",D123="Нет"),0,IF(C123="в год",B123/12,B123))</f>
        <v/>
      </c>
      <c r="F123" s="4" t="n"/>
    </row>
    <row r="124">
      <c r="B124" s="7" t="n"/>
      <c r="E124" s="7">
        <f>IF(OR(A124="",D124="Нет"),0,IF(C124="в год",B124/12,B124))</f>
        <v/>
      </c>
      <c r="F124" s="4" t="n"/>
    </row>
    <row r="125">
      <c r="B125" s="7" t="n"/>
      <c r="E125" s="7">
        <f>IF(OR(A125="",D125="Нет"),0,IF(C125="в год",B125/12,B125))</f>
        <v/>
      </c>
      <c r="F125" s="4" t="n"/>
    </row>
    <row r="126">
      <c r="B126" s="7" t="n"/>
      <c r="E126" s="7">
        <f>IF(OR(A126="",D126="Нет"),0,IF(C126="в год",B126/12,B126))</f>
        <v/>
      </c>
      <c r="F126" s="4" t="n"/>
    </row>
    <row r="127">
      <c r="B127" s="7" t="n"/>
      <c r="E127" s="7">
        <f>IF(OR(A127="",D127="Нет"),0,IF(C127="в год",B127/12,B127))</f>
        <v/>
      </c>
      <c r="F127" s="4" t="n"/>
    </row>
    <row r="128">
      <c r="B128" s="7" t="n"/>
      <c r="E128" s="7">
        <f>IF(OR(A128="",D128="Нет"),0,IF(C128="в год",B128/12,B128))</f>
        <v/>
      </c>
      <c r="F128" s="4" t="n"/>
    </row>
    <row r="129">
      <c r="B129" s="7" t="n"/>
      <c r="E129" s="7">
        <f>IF(OR(A129="",D129="Нет"),0,IF(C129="в год",B129/12,B129))</f>
        <v/>
      </c>
      <c r="F129" s="4" t="n"/>
    </row>
    <row r="130">
      <c r="B130" s="7" t="n"/>
      <c r="E130" s="7">
        <f>IF(OR(A130="",D130="Нет"),0,IF(C130="в год",B130/12,B130))</f>
        <v/>
      </c>
      <c r="F130" s="4" t="n"/>
    </row>
    <row r="131">
      <c r="B131" s="7" t="n"/>
      <c r="E131" s="7">
        <f>IF(OR(A131="",D131="Нет"),0,IF(C131="в год",B131/12,B131))</f>
        <v/>
      </c>
      <c r="F131" s="4" t="n"/>
    </row>
    <row r="132">
      <c r="B132" s="7" t="n"/>
      <c r="E132" s="7">
        <f>IF(OR(A132="",D132="Нет"),0,IF(C132="в год",B132/12,B132))</f>
        <v/>
      </c>
      <c r="F132" s="4" t="n"/>
    </row>
    <row r="133">
      <c r="B133" s="7" t="n"/>
      <c r="E133" s="7">
        <f>IF(OR(A133="",D133="Нет"),0,IF(C133="в год",B133/12,B133))</f>
        <v/>
      </c>
      <c r="F133" s="4" t="n"/>
    </row>
    <row r="134">
      <c r="B134" s="7" t="n"/>
      <c r="E134" s="7">
        <f>IF(OR(A134="",D134="Нет"),0,IF(C134="в год",B134/12,B134))</f>
        <v/>
      </c>
      <c r="F134" s="4" t="n"/>
    </row>
    <row r="135">
      <c r="B135" s="7" t="n"/>
      <c r="E135" s="7">
        <f>IF(OR(A135="",D135="Нет"),0,IF(C135="в год",B135/12,B135))</f>
        <v/>
      </c>
      <c r="F135" s="4" t="n"/>
    </row>
    <row r="136">
      <c r="B136" s="7" t="n"/>
      <c r="E136" s="7">
        <f>IF(OR(A136="",D136="Нет"),0,IF(C136="в год",B136/12,B136))</f>
        <v/>
      </c>
      <c r="F136" s="4" t="n"/>
    </row>
    <row r="137">
      <c r="B137" s="7" t="n"/>
      <c r="E137" s="7">
        <f>IF(OR(A137="",D137="Нет"),0,IF(C137="в год",B137/12,B137))</f>
        <v/>
      </c>
      <c r="F137" s="4" t="n"/>
    </row>
    <row r="138">
      <c r="B138" s="7" t="n"/>
      <c r="E138" s="7">
        <f>IF(OR(A138="",D138="Нет"),0,IF(C138="в год",B138/12,B138))</f>
        <v/>
      </c>
      <c r="F138" s="4" t="n"/>
    </row>
    <row r="139">
      <c r="B139" s="7" t="n"/>
      <c r="E139" s="7">
        <f>IF(OR(A139="",D139="Нет"),0,IF(C139="в год",B139/12,B139))</f>
        <v/>
      </c>
      <c r="F139" s="4" t="n"/>
    </row>
    <row r="140">
      <c r="B140" s="7" t="n"/>
      <c r="E140" s="7">
        <f>IF(OR(A140="",D140="Нет"),0,IF(C140="в год",B140/12,B140))</f>
        <v/>
      </c>
      <c r="F140" s="4" t="n"/>
    </row>
    <row r="141">
      <c r="B141" s="7" t="n"/>
      <c r="E141" s="7">
        <f>IF(OR(A141="",D141="Нет"),0,IF(C141="в год",B141/12,B141))</f>
        <v/>
      </c>
      <c r="F141" s="4" t="n"/>
    </row>
    <row r="142">
      <c r="B142" s="7" t="n"/>
      <c r="E142" s="7">
        <f>IF(OR(A142="",D142="Нет"),0,IF(C142="в год",B142/12,B142))</f>
        <v/>
      </c>
      <c r="F142" s="4" t="n"/>
    </row>
    <row r="143">
      <c r="B143" s="7" t="n"/>
      <c r="E143" s="7">
        <f>IF(OR(A143="",D143="Нет"),0,IF(C143="в год",B143/12,B143))</f>
        <v/>
      </c>
      <c r="F143" s="4" t="n"/>
    </row>
    <row r="144">
      <c r="B144" s="7" t="n"/>
      <c r="E144" s="7">
        <f>IF(OR(A144="",D144="Нет"),0,IF(C144="в год",B144/12,B144))</f>
        <v/>
      </c>
      <c r="F144" s="4" t="n"/>
    </row>
    <row r="145">
      <c r="B145" s="7" t="n"/>
      <c r="E145" s="7">
        <f>IF(OR(A145="",D145="Нет"),0,IF(C145="в год",B145/12,B145))</f>
        <v/>
      </c>
      <c r="F145" s="4" t="n"/>
    </row>
    <row r="146">
      <c r="B146" s="7" t="n"/>
      <c r="E146" s="7">
        <f>IF(OR(A146="",D146="Нет"),0,IF(C146="в год",B146/12,B146))</f>
        <v/>
      </c>
      <c r="F146" s="4" t="n"/>
    </row>
    <row r="147">
      <c r="B147" s="7" t="n"/>
      <c r="E147" s="7">
        <f>IF(OR(A147="",D147="Нет"),0,IF(C147="в год",B147/12,B147))</f>
        <v/>
      </c>
      <c r="F147" s="4" t="n"/>
    </row>
    <row r="148">
      <c r="B148" s="7" t="n"/>
      <c r="E148" s="7">
        <f>IF(OR(A148="",D148="Нет"),0,IF(C148="в год",B148/12,B148))</f>
        <v/>
      </c>
      <c r="F148" s="4" t="n"/>
    </row>
    <row r="149">
      <c r="B149" s="7" t="n"/>
      <c r="E149" s="7">
        <f>IF(OR(A149="",D149="Нет"),0,IF(C149="в год",B149/12,B149))</f>
        <v/>
      </c>
      <c r="F149" s="4" t="n"/>
    </row>
    <row r="150">
      <c r="B150" s="7" t="n"/>
      <c r="E150" s="7">
        <f>IF(OR(A150="",D150="Нет"),0,IF(C150="в год",B150/12,B150))</f>
        <v/>
      </c>
      <c r="F150" s="4" t="n"/>
    </row>
    <row r="151">
      <c r="B151" s="7" t="n"/>
      <c r="E151" s="7">
        <f>IF(OR(A151="",D151="Нет"),0,IF(C151="в год",B151/12,B151))</f>
        <v/>
      </c>
      <c r="F151" s="4" t="n"/>
    </row>
    <row r="152">
      <c r="B152" s="7" t="n"/>
      <c r="E152" s="7">
        <f>IF(OR(A152="",D152="Нет"),0,IF(C152="в год",B152/12,B152))</f>
        <v/>
      </c>
      <c r="F152" s="4" t="n"/>
    </row>
    <row r="153">
      <c r="B153" s="7" t="n"/>
      <c r="E153" s="7">
        <f>IF(OR(A153="",D153="Нет"),0,IF(C153="в год",B153/12,B153))</f>
        <v/>
      </c>
      <c r="F153" s="4" t="n"/>
    </row>
    <row r="154">
      <c r="B154" s="7" t="n"/>
      <c r="E154" s="7">
        <f>IF(OR(A154="",D154="Нет"),0,IF(C154="в год",B154/12,B154))</f>
        <v/>
      </c>
      <c r="F154" s="4" t="n"/>
    </row>
    <row r="155">
      <c r="B155" s="7" t="n"/>
      <c r="E155" s="7">
        <f>IF(OR(A155="",D155="Нет"),0,IF(C155="в год",B155/12,B155))</f>
        <v/>
      </c>
      <c r="F155" s="4" t="n"/>
    </row>
    <row r="156">
      <c r="B156" s="7" t="n"/>
      <c r="E156" s="7">
        <f>IF(OR(A156="",D156="Нет"),0,IF(C156="в год",B156/12,B156))</f>
        <v/>
      </c>
      <c r="F156" s="4" t="n"/>
    </row>
    <row r="157">
      <c r="B157" s="7" t="n"/>
      <c r="E157" s="7">
        <f>IF(OR(A157="",D157="Нет"),0,IF(C157="в год",B157/12,B157))</f>
        <v/>
      </c>
      <c r="F157" s="4" t="n"/>
    </row>
    <row r="158">
      <c r="B158" s="7" t="n"/>
      <c r="E158" s="7">
        <f>IF(OR(A158="",D158="Нет"),0,IF(C158="в год",B158/12,B158))</f>
        <v/>
      </c>
      <c r="F158" s="4" t="n"/>
    </row>
    <row r="159">
      <c r="B159" s="7" t="n"/>
      <c r="E159" s="7">
        <f>IF(OR(A159="",D159="Нет"),0,IF(C159="в год",B159/12,B159))</f>
        <v/>
      </c>
      <c r="F159" s="4" t="n"/>
    </row>
    <row r="160">
      <c r="B160" s="7" t="n"/>
      <c r="E160" s="7">
        <f>IF(OR(A160="",D160="Нет"),0,IF(C160="в год",B160/12,B160))</f>
        <v/>
      </c>
      <c r="F160" s="4" t="n"/>
    </row>
    <row r="161">
      <c r="B161" s="7" t="n"/>
      <c r="E161" s="7">
        <f>IF(OR(A161="",D161="Нет"),0,IF(C161="в год",B161/12,B161))</f>
        <v/>
      </c>
      <c r="F161" s="4" t="n"/>
    </row>
    <row r="162">
      <c r="B162" s="7" t="n"/>
      <c r="E162" s="7">
        <f>IF(OR(A162="",D162="Нет"),0,IF(C162="в год",B162/12,B162))</f>
        <v/>
      </c>
      <c r="F162" s="4" t="n"/>
    </row>
    <row r="163">
      <c r="B163" s="7" t="n"/>
      <c r="E163" s="7">
        <f>IF(OR(A163="",D163="Нет"),0,IF(C163="в год",B163/12,B163))</f>
        <v/>
      </c>
      <c r="F163" s="4" t="n"/>
    </row>
    <row r="164">
      <c r="B164" s="7" t="n"/>
      <c r="E164" s="7">
        <f>IF(OR(A164="",D164="Нет"),0,IF(C164="в год",B164/12,B164))</f>
        <v/>
      </c>
      <c r="F164" s="4" t="n"/>
    </row>
    <row r="165">
      <c r="B165" s="7" t="n"/>
      <c r="E165" s="7">
        <f>IF(OR(A165="",D165="Нет"),0,IF(C165="в год",B165/12,B165))</f>
        <v/>
      </c>
      <c r="F165" s="4" t="n"/>
    </row>
    <row r="166">
      <c r="B166" s="7" t="n"/>
      <c r="E166" s="7">
        <f>IF(OR(A166="",D166="Нет"),0,IF(C166="в год",B166/12,B166))</f>
        <v/>
      </c>
      <c r="F166" s="4" t="n"/>
    </row>
    <row r="167">
      <c r="B167" s="7" t="n"/>
      <c r="E167" s="7">
        <f>IF(OR(A167="",D167="Нет"),0,IF(C167="в год",B167/12,B167))</f>
        <v/>
      </c>
      <c r="F167" s="4" t="n"/>
    </row>
    <row r="168">
      <c r="B168" s="7" t="n"/>
      <c r="E168" s="7">
        <f>IF(OR(A168="",D168="Нет"),0,IF(C168="в год",B168/12,B168))</f>
        <v/>
      </c>
      <c r="F168" s="4" t="n"/>
    </row>
    <row r="169">
      <c r="B169" s="7" t="n"/>
      <c r="E169" s="7">
        <f>IF(OR(A169="",D169="Нет"),0,IF(C169="в год",B169/12,B169))</f>
        <v/>
      </c>
      <c r="F169" s="4" t="n"/>
    </row>
    <row r="170">
      <c r="B170" s="7" t="n"/>
      <c r="E170" s="7">
        <f>IF(OR(A170="",D170="Нет"),0,IF(C170="в год",B170/12,B170))</f>
        <v/>
      </c>
      <c r="F170" s="4" t="n"/>
    </row>
    <row r="171">
      <c r="B171" s="7" t="n"/>
      <c r="E171" s="7">
        <f>IF(OR(A171="",D171="Нет"),0,IF(C171="в год",B171/12,B171))</f>
        <v/>
      </c>
      <c r="F171" s="4" t="n"/>
    </row>
    <row r="172">
      <c r="B172" s="7" t="n"/>
      <c r="E172" s="7">
        <f>IF(OR(A172="",D172="Нет"),0,IF(C172="в год",B172/12,B172))</f>
        <v/>
      </c>
      <c r="F172" s="4" t="n"/>
    </row>
    <row r="173">
      <c r="B173" s="7" t="n"/>
      <c r="E173" s="7">
        <f>IF(OR(A173="",D173="Нет"),0,IF(C173="в год",B173/12,B173))</f>
        <v/>
      </c>
      <c r="F173" s="4" t="n"/>
    </row>
    <row r="174">
      <c r="B174" s="7" t="n"/>
      <c r="E174" s="7">
        <f>IF(OR(A174="",D174="Нет"),0,IF(C174="в год",B174/12,B174))</f>
        <v/>
      </c>
      <c r="F174" s="4" t="n"/>
    </row>
    <row r="175">
      <c r="B175" s="7" t="n"/>
      <c r="E175" s="7">
        <f>IF(OR(A175="",D175="Нет"),0,IF(C175="в год",B175/12,B175))</f>
        <v/>
      </c>
      <c r="F175" s="4" t="n"/>
    </row>
    <row r="176">
      <c r="B176" s="7" t="n"/>
      <c r="E176" s="7">
        <f>IF(OR(A176="",D176="Нет"),0,IF(C176="в год",B176/12,B176))</f>
        <v/>
      </c>
      <c r="F176" s="4" t="n"/>
    </row>
    <row r="177">
      <c r="B177" s="7" t="n"/>
      <c r="E177" s="7">
        <f>IF(OR(A177="",D177="Нет"),0,IF(C177="в год",B177/12,B177))</f>
        <v/>
      </c>
      <c r="F177" s="4" t="n"/>
    </row>
    <row r="178">
      <c r="B178" s="7" t="n"/>
      <c r="E178" s="7">
        <f>IF(OR(A178="",D178="Нет"),0,IF(C178="в год",B178/12,B178))</f>
        <v/>
      </c>
      <c r="F178" s="4" t="n"/>
    </row>
    <row r="179">
      <c r="B179" s="7" t="n"/>
      <c r="E179" s="7">
        <f>IF(OR(A179="",D179="Нет"),0,IF(C179="в год",B179/12,B179))</f>
        <v/>
      </c>
      <c r="F179" s="4" t="n"/>
    </row>
    <row r="180">
      <c r="B180" s="7" t="n"/>
      <c r="E180" s="7">
        <f>IF(OR(A180="",D180="Нет"),0,IF(C180="в год",B180/12,B180))</f>
        <v/>
      </c>
      <c r="F180" s="4" t="n"/>
    </row>
    <row r="181">
      <c r="B181" s="7" t="n"/>
      <c r="E181" s="7">
        <f>IF(OR(A181="",D181="Нет"),0,IF(C181="в год",B181/12,B181))</f>
        <v/>
      </c>
      <c r="F181" s="4" t="n"/>
    </row>
    <row r="182">
      <c r="B182" s="7" t="n"/>
      <c r="E182" s="7">
        <f>IF(OR(A182="",D182="Нет"),0,IF(C182="в год",B182/12,B182))</f>
        <v/>
      </c>
      <c r="F182" s="4" t="n"/>
    </row>
    <row r="183">
      <c r="B183" s="7" t="n"/>
      <c r="E183" s="7">
        <f>IF(OR(A183="",D183="Нет"),0,IF(C183="в год",B183/12,B183))</f>
        <v/>
      </c>
      <c r="F183" s="4" t="n"/>
    </row>
    <row r="184">
      <c r="B184" s="7" t="n"/>
      <c r="E184" s="7">
        <f>IF(OR(A184="",D184="Нет"),0,IF(C184="в год",B184/12,B184))</f>
        <v/>
      </c>
      <c r="F184" s="4" t="n"/>
    </row>
    <row r="185">
      <c r="B185" s="7" t="n"/>
      <c r="E185" s="7">
        <f>IF(OR(A185="",D185="Нет"),0,IF(C185="в год",B185/12,B185))</f>
        <v/>
      </c>
      <c r="F185" s="4" t="n"/>
    </row>
    <row r="186">
      <c r="B186" s="7" t="n"/>
      <c r="E186" s="7">
        <f>IF(OR(A186="",D186="Нет"),0,IF(C186="в год",B186/12,B186))</f>
        <v/>
      </c>
      <c r="F186" s="4" t="n"/>
    </row>
    <row r="187">
      <c r="B187" s="7" t="n"/>
      <c r="E187" s="7">
        <f>IF(OR(A187="",D187="Нет"),0,IF(C187="в год",B187/12,B187))</f>
        <v/>
      </c>
      <c r="F187" s="4" t="n"/>
    </row>
    <row r="188">
      <c r="B188" s="7" t="n"/>
      <c r="E188" s="7">
        <f>IF(OR(A188="",D188="Нет"),0,IF(C188="в год",B188/12,B188))</f>
        <v/>
      </c>
      <c r="F188" s="4" t="n"/>
    </row>
    <row r="189">
      <c r="B189" s="7" t="n"/>
      <c r="E189" s="7">
        <f>IF(OR(A189="",D189="Нет"),0,IF(C189="в год",B189/12,B189))</f>
        <v/>
      </c>
      <c r="F189" s="4" t="n"/>
    </row>
    <row r="190">
      <c r="B190" s="7" t="n"/>
      <c r="E190" s="7">
        <f>IF(OR(A190="",D190="Нет"),0,IF(C190="в год",B190/12,B190))</f>
        <v/>
      </c>
      <c r="F190" s="4" t="n"/>
    </row>
    <row r="191">
      <c r="B191" s="7" t="n"/>
      <c r="E191" s="7">
        <f>IF(OR(A191="",D191="Нет"),0,IF(C191="в год",B191/12,B191))</f>
        <v/>
      </c>
      <c r="F191" s="4" t="n"/>
    </row>
    <row r="192">
      <c r="B192" s="7" t="n"/>
      <c r="E192" s="7">
        <f>IF(OR(A192="",D192="Нет"),0,IF(C192="в год",B192/12,B192))</f>
        <v/>
      </c>
      <c r="F192" s="4" t="n"/>
    </row>
    <row r="193">
      <c r="B193" s="7" t="n"/>
      <c r="E193" s="7">
        <f>IF(OR(A193="",D193="Нет"),0,IF(C193="в год",B193/12,B193))</f>
        <v/>
      </c>
      <c r="F193" s="4" t="n"/>
    </row>
    <row r="194">
      <c r="B194" s="7" t="n"/>
      <c r="E194" s="7">
        <f>IF(OR(A194="",D194="Нет"),0,IF(C194="в год",B194/12,B194))</f>
        <v/>
      </c>
      <c r="F194" s="4" t="n"/>
    </row>
    <row r="195">
      <c r="B195" s="7" t="n"/>
      <c r="E195" s="7">
        <f>IF(OR(A195="",D195="Нет"),0,IF(C195="в год",B195/12,B195))</f>
        <v/>
      </c>
      <c r="F195" s="4" t="n"/>
    </row>
    <row r="196">
      <c r="B196" s="7" t="n"/>
      <c r="E196" s="7">
        <f>IF(OR(A196="",D196="Нет"),0,IF(C196="в год",B196/12,B196))</f>
        <v/>
      </c>
      <c r="F196" s="4" t="n"/>
    </row>
    <row r="197">
      <c r="B197" s="7" t="n"/>
      <c r="E197" s="7">
        <f>IF(OR(A197="",D197="Нет"),0,IF(C197="в год",B197/12,B197))</f>
        <v/>
      </c>
      <c r="F197" s="4" t="n"/>
    </row>
    <row r="198">
      <c r="B198" s="7" t="n"/>
      <c r="E198" s="7">
        <f>IF(OR(A198="",D198="Нет"),0,IF(C198="в год",B198/12,B198))</f>
        <v/>
      </c>
      <c r="F198" s="4" t="n"/>
    </row>
    <row r="199">
      <c r="B199" s="7" t="n"/>
      <c r="E199" s="7">
        <f>IF(OR(A199="",D199="Нет"),0,IF(C199="в год",B199/12,B199))</f>
        <v/>
      </c>
      <c r="F199" s="4" t="n"/>
    </row>
    <row r="200">
      <c r="B200" s="7" t="n"/>
      <c r="E200" s="7">
        <f>IF(OR(A200="",D200="Нет"),0,IF(C200="в год",B200/12,B200))</f>
        <v/>
      </c>
      <c r="F200" s="4" t="n"/>
    </row>
    <row r="201">
      <c r="B201" s="7" t="n"/>
      <c r="E201" s="7">
        <f>IF(OR(A201="",D201="Нет"),0,IF(C201="в год",B201/12,B201))</f>
        <v/>
      </c>
      <c r="F201" s="4" t="n"/>
    </row>
    <row r="202">
      <c r="B202" s="7" t="n"/>
      <c r="E202" s="7">
        <f>IF(OR(A202="",D202="Нет"),0,IF(C202="в год",B202/12,B202))</f>
        <v/>
      </c>
      <c r="F202" s="4" t="n"/>
    </row>
    <row r="203">
      <c r="B203" s="7" t="n"/>
      <c r="E203" s="7">
        <f>IF(OR(A203="",D203="Нет"),0,IF(C203="в год",B203/12,B203))</f>
        <v/>
      </c>
      <c r="F203" s="4" t="n"/>
    </row>
    <row r="204">
      <c r="B204" s="7" t="n"/>
      <c r="E204" s="7">
        <f>IF(OR(A204="",D204="Нет"),0,IF(C204="в год",B204/12,B204))</f>
        <v/>
      </c>
      <c r="F204" s="4" t="n"/>
    </row>
    <row r="205">
      <c r="B205" s="7" t="n"/>
      <c r="E205" s="7">
        <f>IF(OR(A205="",D205="Нет"),0,IF(C205="в год",B205/12,B205))</f>
        <v/>
      </c>
      <c r="F205" s="4" t="n"/>
    </row>
    <row r="206">
      <c r="B206" s="7" t="n"/>
      <c r="E206" s="7">
        <f>IF(OR(A206="",D206="Нет"),0,IF(C206="в год",B206/12,B206))</f>
        <v/>
      </c>
      <c r="F206" s="4" t="n"/>
    </row>
    <row r="207">
      <c r="B207" s="7" t="n"/>
      <c r="E207" s="7">
        <f>IF(OR(A207="",D207="Нет"),0,IF(C207="в год",B207/12,B207))</f>
        <v/>
      </c>
      <c r="F207" s="4" t="n"/>
    </row>
    <row r="208">
      <c r="B208" s="7" t="n"/>
      <c r="E208" s="7">
        <f>IF(OR(A208="",D208="Нет"),0,IF(C208="в год",B208/12,B208))</f>
        <v/>
      </c>
      <c r="F208" s="4" t="n"/>
    </row>
    <row r="209">
      <c r="B209" s="7" t="n"/>
      <c r="E209" s="7">
        <f>IF(OR(A209="",D209="Нет"),0,IF(C209="в год",B209/12,B209))</f>
        <v/>
      </c>
      <c r="F209" s="4" t="n"/>
    </row>
    <row r="210">
      <c r="B210" s="7" t="n"/>
      <c r="E210" s="7">
        <f>IF(OR(A210="",D210="Нет"),0,IF(C210="в год",B210/12,B210))</f>
        <v/>
      </c>
      <c r="F210" s="4" t="n"/>
    </row>
    <row r="211">
      <c r="B211" s="7" t="n"/>
      <c r="E211" s="7">
        <f>IF(OR(A211="",D211="Нет"),0,IF(C211="в год",B211/12,B211))</f>
        <v/>
      </c>
      <c r="F211" s="4" t="n"/>
    </row>
    <row r="212">
      <c r="B212" s="7" t="n"/>
      <c r="E212" s="7">
        <f>IF(OR(A212="",D212="Нет"),0,IF(C212="в год",B212/12,B212))</f>
        <v/>
      </c>
      <c r="F212" s="4" t="n"/>
    </row>
    <row r="213">
      <c r="B213" s="7" t="n"/>
      <c r="E213" s="7">
        <f>IF(OR(A213="",D213="Нет"),0,IF(C213="в год",B213/12,B213))</f>
        <v/>
      </c>
      <c r="F213" s="4" t="n"/>
    </row>
    <row r="214">
      <c r="B214" s="7" t="n"/>
      <c r="E214" s="7">
        <f>IF(OR(A214="",D214="Нет"),0,IF(C214="в год",B214/12,B214))</f>
        <v/>
      </c>
      <c r="F214" s="4" t="n"/>
    </row>
    <row r="215">
      <c r="B215" s="7" t="n"/>
      <c r="E215" s="7">
        <f>IF(OR(A215="",D215="Нет"),0,IF(C215="в год",B215/12,B215))</f>
        <v/>
      </c>
      <c r="F215" s="4" t="n"/>
    </row>
    <row r="216">
      <c r="B216" s="7" t="n"/>
      <c r="E216" s="7">
        <f>IF(OR(A216="",D216="Нет"),0,IF(C216="в год",B216/12,B216))</f>
        <v/>
      </c>
      <c r="F216" s="4" t="n"/>
    </row>
    <row r="217">
      <c r="B217" s="7" t="n"/>
      <c r="E217" s="7">
        <f>IF(OR(A217="",D217="Нет"),0,IF(C217="в год",B217/12,B217))</f>
        <v/>
      </c>
      <c r="F217" s="4" t="n"/>
    </row>
    <row r="218">
      <c r="B218" s="7" t="n"/>
      <c r="E218" s="7">
        <f>IF(OR(A218="",D218="Нет"),0,IF(C218="в год",B218/12,B218))</f>
        <v/>
      </c>
      <c r="F218" s="4" t="n"/>
    </row>
    <row r="219">
      <c r="B219" s="7" t="n"/>
      <c r="E219" s="7">
        <f>IF(OR(A219="",D219="Нет"),0,IF(C219="в год",B219/12,B219))</f>
        <v/>
      </c>
      <c r="F219" s="4" t="n"/>
    </row>
    <row r="220">
      <c r="B220" s="7" t="n"/>
      <c r="E220" s="7">
        <f>IF(OR(A220="",D220="Нет"),0,IF(C220="в год",B220/12,B220))</f>
        <v/>
      </c>
      <c r="F220" s="4" t="n"/>
    </row>
    <row r="221">
      <c r="B221" s="7" t="n"/>
      <c r="E221" s="7">
        <f>IF(OR(A221="",D221="Нет"),0,IF(C221="в год",B221/12,B221))</f>
        <v/>
      </c>
      <c r="F221" s="4" t="n"/>
    </row>
    <row r="222">
      <c r="B222" s="7" t="n"/>
      <c r="E222" s="7">
        <f>IF(OR(A222="",D222="Нет"),0,IF(C222="в год",B222/12,B222))</f>
        <v/>
      </c>
      <c r="F222" s="4" t="n"/>
    </row>
    <row r="223">
      <c r="B223" s="7" t="n"/>
      <c r="E223" s="7">
        <f>IF(OR(A223="",D223="Нет"),0,IF(C223="в год",B223/12,B223))</f>
        <v/>
      </c>
      <c r="F223" s="4" t="n"/>
    </row>
    <row r="224">
      <c r="B224" s="7" t="n"/>
      <c r="E224" s="7">
        <f>IF(OR(A224="",D224="Нет"),0,IF(C224="в год",B224/12,B224))</f>
        <v/>
      </c>
      <c r="F224" s="4" t="n"/>
    </row>
    <row r="225">
      <c r="B225" s="7" t="n"/>
      <c r="E225" s="7">
        <f>IF(OR(A225="",D225="Нет"),0,IF(C225="в год",B225/12,B225))</f>
        <v/>
      </c>
      <c r="F225" s="4" t="n"/>
    </row>
    <row r="226">
      <c r="B226" s="7" t="n"/>
      <c r="E226" s="7">
        <f>IF(OR(A226="",D226="Нет"),0,IF(C226="в год",B226/12,B226))</f>
        <v/>
      </c>
      <c r="F226" s="4" t="n"/>
    </row>
    <row r="227">
      <c r="B227" s="7" t="n"/>
      <c r="E227" s="7">
        <f>IF(OR(A227="",D227="Нет"),0,IF(C227="в год",B227/12,B227))</f>
        <v/>
      </c>
      <c r="F227" s="4" t="n"/>
    </row>
    <row r="228">
      <c r="B228" s="7" t="n"/>
      <c r="E228" s="7">
        <f>IF(OR(A228="",D228="Нет"),0,IF(C228="в год",B228/12,B228))</f>
        <v/>
      </c>
      <c r="F228" s="4" t="n"/>
    </row>
    <row r="229">
      <c r="B229" s="7" t="n"/>
      <c r="E229" s="7">
        <f>IF(OR(A229="",D229="Нет"),0,IF(C229="в год",B229/12,B229))</f>
        <v/>
      </c>
      <c r="F229" s="4" t="n"/>
    </row>
    <row r="230">
      <c r="B230" s="7" t="n"/>
      <c r="E230" s="7">
        <f>IF(OR(A230="",D230="Нет"),0,IF(C230="в год",B230/12,B230))</f>
        <v/>
      </c>
      <c r="F230" s="4" t="n"/>
    </row>
    <row r="231">
      <c r="B231" s="7" t="n"/>
      <c r="E231" s="7">
        <f>IF(OR(A231="",D231="Нет"),0,IF(C231="в год",B231/12,B231))</f>
        <v/>
      </c>
      <c r="F231" s="4" t="n"/>
    </row>
    <row r="232">
      <c r="B232" s="7" t="n"/>
      <c r="E232" s="7">
        <f>IF(OR(A232="",D232="Нет"),0,IF(C232="в год",B232/12,B232))</f>
        <v/>
      </c>
      <c r="F232" s="4" t="n"/>
    </row>
    <row r="233">
      <c r="B233" s="7" t="n"/>
      <c r="E233" s="7">
        <f>IF(OR(A233="",D233="Нет"),0,IF(C233="в год",B233/12,B233))</f>
        <v/>
      </c>
      <c r="F233" s="4" t="n"/>
    </row>
    <row r="234">
      <c r="B234" s="7" t="n"/>
      <c r="E234" s="7">
        <f>IF(OR(A234="",D234="Нет"),0,IF(C234="в год",B234/12,B234))</f>
        <v/>
      </c>
      <c r="F234" s="4" t="n"/>
    </row>
    <row r="235">
      <c r="B235" s="7" t="n"/>
      <c r="E235" s="7">
        <f>IF(OR(A235="",D235="Нет"),0,IF(C235="в год",B235/12,B235))</f>
        <v/>
      </c>
      <c r="F235" s="4" t="n"/>
    </row>
    <row r="236">
      <c r="B236" s="7" t="n"/>
      <c r="E236" s="7">
        <f>IF(OR(A236="",D236="Нет"),0,IF(C236="в год",B236/12,B236))</f>
        <v/>
      </c>
      <c r="F236" s="4" t="n"/>
    </row>
    <row r="237">
      <c r="B237" s="7" t="n"/>
      <c r="E237" s="7">
        <f>IF(OR(A237="",D237="Нет"),0,IF(C237="в год",B237/12,B237))</f>
        <v/>
      </c>
      <c r="F237" s="4" t="n"/>
    </row>
    <row r="238">
      <c r="B238" s="7" t="n"/>
      <c r="E238" s="7">
        <f>IF(OR(A238="",D238="Нет"),0,IF(C238="в год",B238/12,B238))</f>
        <v/>
      </c>
      <c r="F238" s="4" t="n"/>
    </row>
    <row r="239">
      <c r="B239" s="7" t="n"/>
      <c r="E239" s="7">
        <f>IF(OR(A239="",D239="Нет"),0,IF(C239="в год",B239/12,B239))</f>
        <v/>
      </c>
      <c r="F239" s="4" t="n"/>
    </row>
    <row r="240">
      <c r="B240" s="7" t="n"/>
      <c r="E240" s="7">
        <f>IF(OR(A240="",D240="Нет"),0,IF(C240="в год",B240/12,B240))</f>
        <v/>
      </c>
      <c r="F240" s="4" t="n"/>
    </row>
    <row r="241">
      <c r="B241" s="7" t="n"/>
      <c r="E241" s="7">
        <f>IF(OR(A241="",D241="Нет"),0,IF(C241="в год",B241/12,B241))</f>
        <v/>
      </c>
      <c r="F241" s="4" t="n"/>
    </row>
    <row r="242">
      <c r="B242" s="7" t="n"/>
      <c r="E242" s="7">
        <f>IF(OR(A242="",D242="Нет"),0,IF(C242="в год",B242/12,B242))</f>
        <v/>
      </c>
      <c r="F242" s="4" t="n"/>
    </row>
    <row r="243">
      <c r="B243" s="7" t="n"/>
      <c r="E243" s="7">
        <f>IF(OR(A243="",D243="Нет"),0,IF(C243="в год",B243/12,B243))</f>
        <v/>
      </c>
      <c r="F243" s="4" t="n"/>
    </row>
    <row r="244">
      <c r="B244" s="7" t="n"/>
      <c r="E244" s="7">
        <f>IF(OR(A244="",D244="Нет"),0,IF(C244="в год",B244/12,B244))</f>
        <v/>
      </c>
      <c r="F244" s="4" t="n"/>
    </row>
    <row r="245">
      <c r="B245" s="7" t="n"/>
      <c r="E245" s="7">
        <f>IF(OR(A245="",D245="Нет"),0,IF(C245="в год",B245/12,B245))</f>
        <v/>
      </c>
      <c r="F245" s="4" t="n"/>
    </row>
    <row r="246">
      <c r="B246" s="7" t="n"/>
      <c r="E246" s="7">
        <f>IF(OR(A246="",D246="Нет"),0,IF(C246="в год",B246/12,B246))</f>
        <v/>
      </c>
      <c r="F246" s="4" t="n"/>
    </row>
    <row r="247">
      <c r="B247" s="7" t="n"/>
      <c r="E247" s="7">
        <f>IF(OR(A247="",D247="Нет"),0,IF(C247="в год",B247/12,B247))</f>
        <v/>
      </c>
      <c r="F247" s="4" t="n"/>
    </row>
    <row r="248">
      <c r="B248" s="7" t="n"/>
      <c r="E248" s="7">
        <f>IF(OR(A248="",D248="Нет"),0,IF(C248="в год",B248/12,B248))</f>
        <v/>
      </c>
      <c r="F248" s="4" t="n"/>
    </row>
    <row r="249">
      <c r="B249" s="7" t="n"/>
      <c r="E249" s="7">
        <f>IF(OR(A249="",D249="Нет"),0,IF(C249="в год",B249/12,B249))</f>
        <v/>
      </c>
      <c r="F249" s="4" t="n"/>
    </row>
    <row r="250">
      <c r="B250" s="7" t="n"/>
      <c r="E250" s="7">
        <f>IF(OR(A250="",D250="Нет"),0,IF(C250="в год",B250/12,B250))</f>
        <v/>
      </c>
      <c r="F250" s="4" t="n"/>
    </row>
    <row r="251">
      <c r="B251" s="7" t="n"/>
      <c r="E251" s="7">
        <f>IF(OR(A251="",D251="Нет"),0,IF(C251="в год",B251/12,B251))</f>
        <v/>
      </c>
      <c r="F251" s="4" t="n"/>
    </row>
    <row r="252">
      <c r="B252" s="7" t="n"/>
      <c r="E252" s="7">
        <f>IF(OR(A252="",D252="Нет"),0,IF(C252="в год",B252/12,B252))</f>
        <v/>
      </c>
      <c r="F252" s="4" t="n"/>
    </row>
    <row r="253">
      <c r="B253" s="7" t="n"/>
      <c r="E253" s="7">
        <f>IF(OR(A253="",D253="Нет"),0,IF(C253="в год",B253/12,B253))</f>
        <v/>
      </c>
      <c r="F253" s="4" t="n"/>
    </row>
    <row r="254">
      <c r="B254" s="7" t="n"/>
      <c r="E254" s="7">
        <f>IF(OR(A254="",D254="Нет"),0,IF(C254="в год",B254/12,B254))</f>
        <v/>
      </c>
      <c r="F254" s="4" t="n"/>
    </row>
    <row r="255">
      <c r="B255" s="7" t="n"/>
      <c r="E255" s="7">
        <f>IF(OR(A255="",D255="Нет"),0,IF(C255="в год",B255/12,B255))</f>
        <v/>
      </c>
      <c r="F255" s="4" t="n"/>
    </row>
    <row r="256">
      <c r="B256" s="7" t="n"/>
      <c r="E256" s="7">
        <f>IF(OR(A256="",D256="Нет"),0,IF(C256="в год",B256/12,B256))</f>
        <v/>
      </c>
      <c r="F256" s="4" t="n"/>
    </row>
    <row r="257">
      <c r="B257" s="7" t="n"/>
      <c r="E257" s="7">
        <f>IF(OR(A257="",D257="Нет"),0,IF(C257="в год",B257/12,B257))</f>
        <v/>
      </c>
      <c r="F257" s="4" t="n"/>
    </row>
    <row r="258">
      <c r="B258" s="7" t="n"/>
      <c r="E258" s="7">
        <f>IF(OR(A258="",D258="Нет"),0,IF(C258="в год",B258/12,B258))</f>
        <v/>
      </c>
      <c r="F258" s="4" t="n"/>
    </row>
    <row r="259">
      <c r="B259" s="7" t="n"/>
      <c r="E259" s="7">
        <f>IF(OR(A259="",D259="Нет"),0,IF(C259="в год",B259/12,B259))</f>
        <v/>
      </c>
      <c r="F259" s="4" t="n"/>
    </row>
    <row r="260">
      <c r="B260" s="7" t="n"/>
      <c r="E260" s="7">
        <f>IF(OR(A260="",D260="Нет"),0,IF(C260="в год",B260/12,B260))</f>
        <v/>
      </c>
      <c r="F260" s="4" t="n"/>
    </row>
    <row r="261">
      <c r="B261" s="7" t="n"/>
      <c r="E261" s="7">
        <f>IF(OR(A261="",D261="Нет"),0,IF(C261="в год",B261/12,B261))</f>
        <v/>
      </c>
      <c r="F261" s="4" t="n"/>
    </row>
    <row r="262">
      <c r="B262" s="7" t="n"/>
      <c r="E262" s="7">
        <f>IF(OR(A262="",D262="Нет"),0,IF(C262="в год",B262/12,B262))</f>
        <v/>
      </c>
      <c r="F262" s="4" t="n"/>
    </row>
    <row r="263">
      <c r="B263" s="7" t="n"/>
      <c r="E263" s="7">
        <f>IF(OR(A263="",D263="Нет"),0,IF(C263="в год",B263/12,B263))</f>
        <v/>
      </c>
      <c r="F263" s="4" t="n"/>
    </row>
    <row r="264">
      <c r="B264" s="7" t="n"/>
      <c r="E264" s="7">
        <f>IF(OR(A264="",D264="Нет"),0,IF(C264="в год",B264/12,B264))</f>
        <v/>
      </c>
      <c r="F264" s="4" t="n"/>
    </row>
    <row r="265">
      <c r="B265" s="7" t="n"/>
      <c r="E265" s="7">
        <f>IF(OR(A265="",D265="Нет"),0,IF(C265="в год",B265/12,B265))</f>
        <v/>
      </c>
      <c r="F265" s="4" t="n"/>
    </row>
    <row r="266">
      <c r="B266" s="7" t="n"/>
      <c r="E266" s="7">
        <f>IF(OR(A266="",D266="Нет"),0,IF(C266="в год",B266/12,B266))</f>
        <v/>
      </c>
      <c r="F266" s="4" t="n"/>
    </row>
    <row r="267">
      <c r="B267" s="7" t="n"/>
      <c r="E267" s="7">
        <f>IF(OR(A267="",D267="Нет"),0,IF(C267="в год",B267/12,B267))</f>
        <v/>
      </c>
      <c r="F267" s="4" t="n"/>
    </row>
    <row r="268">
      <c r="B268" s="7" t="n"/>
      <c r="E268" s="7">
        <f>IF(OR(A268="",D268="Нет"),0,IF(C268="в год",B268/12,B268))</f>
        <v/>
      </c>
      <c r="F268" s="4" t="n"/>
    </row>
    <row r="269">
      <c r="B269" s="7" t="n"/>
      <c r="E269" s="7">
        <f>IF(OR(A269="",D269="Нет"),0,IF(C269="в год",B269/12,B269))</f>
        <v/>
      </c>
      <c r="F269" s="4" t="n"/>
    </row>
    <row r="270">
      <c r="B270" s="7" t="n"/>
      <c r="E270" s="7">
        <f>IF(OR(A270="",D270="Нет"),0,IF(C270="в год",B270/12,B270))</f>
        <v/>
      </c>
      <c r="F270" s="4" t="n"/>
    </row>
    <row r="271">
      <c r="B271" s="7" t="n"/>
      <c r="E271" s="7">
        <f>IF(OR(A271="",D271="Нет"),0,IF(C271="в год",B271/12,B271))</f>
        <v/>
      </c>
      <c r="F271" s="4" t="n"/>
    </row>
    <row r="272">
      <c r="B272" s="7" t="n"/>
      <c r="E272" s="7">
        <f>IF(OR(A272="",D272="Нет"),0,IF(C272="в год",B272/12,B272))</f>
        <v/>
      </c>
      <c r="F272" s="4" t="n"/>
    </row>
    <row r="273">
      <c r="B273" s="7" t="n"/>
      <c r="E273" s="7">
        <f>IF(OR(A273="",D273="Нет"),0,IF(C273="в год",B273/12,B273))</f>
        <v/>
      </c>
      <c r="F273" s="4" t="n"/>
    </row>
    <row r="274">
      <c r="B274" s="7" t="n"/>
      <c r="E274" s="7">
        <f>IF(OR(A274="",D274="Нет"),0,IF(C274="в год",B274/12,B274))</f>
        <v/>
      </c>
      <c r="F274" s="4" t="n"/>
    </row>
    <row r="275">
      <c r="B275" s="7" t="n"/>
      <c r="E275" s="7">
        <f>IF(OR(A275="",D275="Нет"),0,IF(C275="в год",B275/12,B275))</f>
        <v/>
      </c>
      <c r="F275" s="4" t="n"/>
    </row>
    <row r="276">
      <c r="B276" s="7" t="n"/>
      <c r="E276" s="7">
        <f>IF(OR(A276="",D276="Нет"),0,IF(C276="в год",B276/12,B276))</f>
        <v/>
      </c>
      <c r="F276" s="4" t="n"/>
    </row>
    <row r="277">
      <c r="B277" s="7" t="n"/>
      <c r="E277" s="7">
        <f>IF(OR(A277="",D277="Нет"),0,IF(C277="в год",B277/12,B277))</f>
        <v/>
      </c>
      <c r="F277" s="4" t="n"/>
    </row>
    <row r="278">
      <c r="B278" s="7" t="n"/>
      <c r="E278" s="7">
        <f>IF(OR(A278="",D278="Нет"),0,IF(C278="в год",B278/12,B278))</f>
        <v/>
      </c>
      <c r="F278" s="4" t="n"/>
    </row>
    <row r="279">
      <c r="B279" s="7" t="n"/>
      <c r="E279" s="7">
        <f>IF(OR(A279="",D279="Нет"),0,IF(C279="в год",B279/12,B279))</f>
        <v/>
      </c>
      <c r="F279" s="4" t="n"/>
    </row>
    <row r="280">
      <c r="B280" s="7" t="n"/>
      <c r="E280" s="7">
        <f>IF(OR(A280="",D280="Нет"),0,IF(C280="в год",B280/12,B280))</f>
        <v/>
      </c>
      <c r="F280" s="4" t="n"/>
    </row>
    <row r="281">
      <c r="B281" s="7" t="n"/>
      <c r="E281" s="7">
        <f>IF(OR(A281="",D281="Нет"),0,IF(C281="в год",B281/12,B281))</f>
        <v/>
      </c>
      <c r="F281" s="4" t="n"/>
    </row>
    <row r="282">
      <c r="B282" s="7" t="n"/>
      <c r="E282" s="7">
        <f>IF(OR(A282="",D282="Нет"),0,IF(C282="в год",B282/12,B282))</f>
        <v/>
      </c>
      <c r="F282" s="4" t="n"/>
    </row>
    <row r="283">
      <c r="B283" s="7" t="n"/>
      <c r="E283" s="7">
        <f>IF(OR(A283="",D283="Нет"),0,IF(C283="в год",B283/12,B283))</f>
        <v/>
      </c>
      <c r="F283" s="4" t="n"/>
    </row>
    <row r="284">
      <c r="B284" s="7" t="n"/>
      <c r="E284" s="7">
        <f>IF(OR(A284="",D284="Нет"),0,IF(C284="в год",B284/12,B284))</f>
        <v/>
      </c>
      <c r="F284" s="4" t="n"/>
    </row>
    <row r="285">
      <c r="B285" s="7" t="n"/>
      <c r="E285" s="7">
        <f>IF(OR(A285="",D285="Нет"),0,IF(C285="в год",B285/12,B285))</f>
        <v/>
      </c>
      <c r="F285" s="4" t="n"/>
    </row>
    <row r="286">
      <c r="B286" s="7" t="n"/>
      <c r="E286" s="7">
        <f>IF(OR(A286="",D286="Нет"),0,IF(C286="в год",B286/12,B286))</f>
        <v/>
      </c>
      <c r="F286" s="4" t="n"/>
    </row>
    <row r="287">
      <c r="B287" s="7" t="n"/>
      <c r="E287" s="7">
        <f>IF(OR(A287="",D287="Нет"),0,IF(C287="в год",B287/12,B287))</f>
        <v/>
      </c>
      <c r="F287" s="4" t="n"/>
    </row>
    <row r="288">
      <c r="B288" s="7" t="n"/>
      <c r="E288" s="7">
        <f>IF(OR(A288="",D288="Нет"),0,IF(C288="в год",B288/12,B288))</f>
        <v/>
      </c>
      <c r="F288" s="4" t="n"/>
    </row>
    <row r="289">
      <c r="B289" s="7" t="n"/>
      <c r="E289" s="7">
        <f>IF(OR(A289="",D289="Нет"),0,IF(C289="в год",B289/12,B289))</f>
        <v/>
      </c>
      <c r="F289" s="4" t="n"/>
    </row>
    <row r="290">
      <c r="B290" s="7" t="n"/>
      <c r="E290" s="7">
        <f>IF(OR(A290="",D290="Нет"),0,IF(C290="в год",B290/12,B290))</f>
        <v/>
      </c>
      <c r="F290" s="4" t="n"/>
    </row>
    <row r="291">
      <c r="B291" s="7" t="n"/>
      <c r="E291" s="7">
        <f>IF(OR(A291="",D291="Нет"),0,IF(C291="в год",B291/12,B291))</f>
        <v/>
      </c>
      <c r="F291" s="4" t="n"/>
    </row>
    <row r="292">
      <c r="B292" s="7" t="n"/>
      <c r="E292" s="7">
        <f>IF(OR(A292="",D292="Нет"),0,IF(C292="в год",B292/12,B292))</f>
        <v/>
      </c>
      <c r="F292" s="4" t="n"/>
    </row>
    <row r="293">
      <c r="B293" s="7" t="n"/>
      <c r="E293" s="7">
        <f>IF(OR(A293="",D293="Нет"),0,IF(C293="в год",B293/12,B293))</f>
        <v/>
      </c>
      <c r="F293" s="4" t="n"/>
    </row>
    <row r="294">
      <c r="B294" s="7" t="n"/>
      <c r="E294" s="7">
        <f>IF(OR(A294="",D294="Нет"),0,IF(C294="в год",B294/12,B294))</f>
        <v/>
      </c>
      <c r="F294" s="4" t="n"/>
    </row>
    <row r="295">
      <c r="B295" s="7" t="n"/>
      <c r="E295" s="7">
        <f>IF(OR(A295="",D295="Нет"),0,IF(C295="в год",B295/12,B295))</f>
        <v/>
      </c>
      <c r="F295" s="4" t="n"/>
    </row>
    <row r="296">
      <c r="B296" s="7" t="n"/>
      <c r="E296" s="7">
        <f>IF(OR(A296="",D296="Нет"),0,IF(C296="в год",B296/12,B296))</f>
        <v/>
      </c>
      <c r="F296" s="4" t="n"/>
    </row>
    <row r="297">
      <c r="B297" s="7" t="n"/>
      <c r="E297" s="7">
        <f>IF(OR(A297="",D297="Нет"),0,IF(C297="в год",B297/12,B297))</f>
        <v/>
      </c>
      <c r="F297" s="4" t="n"/>
    </row>
    <row r="298">
      <c r="B298" s="7" t="n"/>
      <c r="E298" s="7">
        <f>IF(OR(A298="",D298="Нет"),0,IF(C298="в год",B298/12,B298))</f>
        <v/>
      </c>
      <c r="F298" s="4" t="n"/>
    </row>
    <row r="299">
      <c r="B299" s="7" t="n"/>
      <c r="E299" s="7">
        <f>IF(OR(A299="",D299="Нет"),0,IF(C299="в год",B299/12,B299))</f>
        <v/>
      </c>
      <c r="F299" s="4" t="n"/>
    </row>
    <row r="300">
      <c r="B300" s="7" t="n"/>
      <c r="E300" s="7">
        <f>IF(OR(A300="",D300="Нет"),0,IF(C300="в год",B300/12,B300))</f>
        <v/>
      </c>
      <c r="F300" s="4" t="n"/>
    </row>
    <row r="301">
      <c r="B301" s="7" t="n"/>
      <c r="E301" s="7">
        <f>IF(OR(A301="",D301="Нет"),0,IF(C301="в год",B301/12,B301))</f>
        <v/>
      </c>
      <c r="F301" s="4" t="n"/>
    </row>
    <row r="302">
      <c r="B302" s="7" t="n"/>
      <c r="E302" s="7">
        <f>IF(OR(A302="",D302="Нет"),0,IF(C302="в год",B302/12,B302))</f>
        <v/>
      </c>
      <c r="F302" s="4" t="n"/>
    </row>
    <row r="303">
      <c r="B303" s="7" t="n"/>
      <c r="E303" s="7">
        <f>IF(OR(A303="",D303="Нет"),0,IF(C303="в год",B303/12,B303))</f>
        <v/>
      </c>
      <c r="F303" s="4" t="n"/>
    </row>
    <row r="304">
      <c r="B304" s="7" t="n"/>
      <c r="E304" s="7">
        <f>IF(OR(A304="",D304="Нет"),0,IF(C304="в год",B304/12,B304))</f>
        <v/>
      </c>
      <c r="F304" s="4" t="n"/>
    </row>
    <row r="305">
      <c r="B305" s="7" t="n"/>
      <c r="E305" s="7">
        <f>IF(OR(A305="",D305="Нет"),0,IF(C305="в год",B305/12,B305))</f>
        <v/>
      </c>
      <c r="F305" s="4" t="n"/>
    </row>
    <row r="306">
      <c r="B306" s="7" t="n"/>
      <c r="E306" s="7">
        <f>IF(OR(A306="",D306="Нет"),0,IF(C306="в год",B306/12,B306))</f>
        <v/>
      </c>
      <c r="F306" s="4" t="n"/>
    </row>
    <row r="307">
      <c r="B307" s="7" t="n"/>
      <c r="E307" s="7">
        <f>IF(OR(A307="",D307="Нет"),0,IF(C307="в год",B307/12,B307))</f>
        <v/>
      </c>
      <c r="F307" s="4" t="n"/>
    </row>
    <row r="308">
      <c r="B308" s="7" t="n"/>
      <c r="E308" s="7">
        <f>IF(OR(A308="",D308="Нет"),0,IF(C308="в год",B308/12,B308))</f>
        <v/>
      </c>
      <c r="F308" s="4" t="n"/>
    </row>
    <row r="309">
      <c r="B309" s="7" t="n"/>
      <c r="E309" s="7">
        <f>IF(OR(A309="",D309="Нет"),0,IF(C309="в год",B309/12,B309))</f>
        <v/>
      </c>
      <c r="F309" s="4" t="n"/>
    </row>
    <row r="310">
      <c r="B310" s="7" t="n"/>
      <c r="E310" s="7">
        <f>IF(OR(A310="",D310="Нет"),0,IF(C310="в год",B310/12,B310))</f>
        <v/>
      </c>
      <c r="F310" s="4" t="n"/>
    </row>
    <row r="311">
      <c r="B311" s="7" t="n"/>
      <c r="E311" s="7">
        <f>IF(OR(A311="",D311="Нет"),0,IF(C311="в год",B311/12,B311))</f>
        <v/>
      </c>
      <c r="F311" s="4" t="n"/>
    </row>
    <row r="312">
      <c r="B312" s="7" t="n"/>
      <c r="E312" s="7">
        <f>IF(OR(A312="",D312="Нет"),0,IF(C312="в год",B312/12,B312))</f>
        <v/>
      </c>
      <c r="F312" s="4" t="n"/>
    </row>
    <row r="313">
      <c r="B313" s="7" t="n"/>
      <c r="E313" s="7">
        <f>IF(OR(A313="",D313="Нет"),0,IF(C313="в год",B313/12,B313))</f>
        <v/>
      </c>
      <c r="F313" s="4" t="n"/>
    </row>
    <row r="314">
      <c r="B314" s="7" t="n"/>
      <c r="E314" s="7">
        <f>IF(OR(A314="",D314="Нет"),0,IF(C314="в год",B314/12,B314))</f>
        <v/>
      </c>
      <c r="F314" s="4" t="n"/>
    </row>
    <row r="315">
      <c r="B315" s="7" t="n"/>
      <c r="E315" s="7">
        <f>IF(OR(A315="",D315="Нет"),0,IF(C315="в год",B315/12,B315))</f>
        <v/>
      </c>
      <c r="F315" s="4" t="n"/>
    </row>
    <row r="316">
      <c r="B316" s="7" t="n"/>
      <c r="E316" s="7">
        <f>IF(OR(A316="",D316="Нет"),0,IF(C316="в год",B316/12,B316))</f>
        <v/>
      </c>
      <c r="F316" s="4" t="n"/>
    </row>
    <row r="317">
      <c r="B317" s="7" t="n"/>
      <c r="E317" s="7">
        <f>IF(OR(A317="",D317="Нет"),0,IF(C317="в год",B317/12,B317))</f>
        <v/>
      </c>
      <c r="F317" s="4" t="n"/>
    </row>
    <row r="318">
      <c r="B318" s="7" t="n"/>
      <c r="E318" s="7">
        <f>IF(OR(A318="",D318="Нет"),0,IF(C318="в год",B318/12,B318))</f>
        <v/>
      </c>
      <c r="F318" s="4" t="n"/>
    </row>
    <row r="319">
      <c r="B319" s="7" t="n"/>
      <c r="E319" s="7">
        <f>IF(OR(A319="",D319="Нет"),0,IF(C319="в год",B319/12,B319))</f>
        <v/>
      </c>
      <c r="F319" s="4" t="n"/>
    </row>
    <row r="320">
      <c r="B320" s="7" t="n"/>
      <c r="E320" s="7">
        <f>IF(OR(A320="",D320="Нет"),0,IF(C320="в год",B320/12,B320))</f>
        <v/>
      </c>
      <c r="F320" s="4" t="n"/>
    </row>
    <row r="321">
      <c r="B321" s="7" t="n"/>
      <c r="E321" s="7">
        <f>IF(OR(A321="",D321="Нет"),0,IF(C321="в год",B321/12,B321))</f>
        <v/>
      </c>
      <c r="F321" s="4" t="n"/>
    </row>
    <row r="322">
      <c r="B322" s="7" t="n"/>
      <c r="E322" s="7">
        <f>IF(OR(A322="",D322="Нет"),0,IF(C322="в год",B322/12,B322))</f>
        <v/>
      </c>
      <c r="F322" s="4" t="n"/>
    </row>
    <row r="323">
      <c r="B323" s="7" t="n"/>
      <c r="E323" s="7">
        <f>IF(OR(A323="",D323="Нет"),0,IF(C323="в год",B323/12,B323))</f>
        <v/>
      </c>
      <c r="F323" s="4" t="n"/>
    </row>
    <row r="324">
      <c r="B324" s="7" t="n"/>
      <c r="E324" s="7">
        <f>IF(OR(A324="",D324="Нет"),0,IF(C324="в год",B324/12,B324))</f>
        <v/>
      </c>
      <c r="F324" s="4" t="n"/>
    </row>
    <row r="325">
      <c r="B325" s="7" t="n"/>
      <c r="E325" s="7">
        <f>IF(OR(A325="",D325="Нет"),0,IF(C325="в год",B325/12,B325))</f>
        <v/>
      </c>
      <c r="F325" s="4" t="n"/>
    </row>
    <row r="326">
      <c r="B326" s="7" t="n"/>
      <c r="E326" s="7">
        <f>IF(OR(A326="",D326="Нет"),0,IF(C326="в год",B326/12,B326))</f>
        <v/>
      </c>
      <c r="F326" s="4" t="n"/>
    </row>
    <row r="327">
      <c r="B327" s="7" t="n"/>
      <c r="E327" s="7">
        <f>IF(OR(A327="",D327="Нет"),0,IF(C327="в год",B327/12,B327))</f>
        <v/>
      </c>
      <c r="F327" s="4" t="n"/>
    </row>
    <row r="328">
      <c r="B328" s="7" t="n"/>
      <c r="E328" s="7">
        <f>IF(OR(A328="",D328="Нет"),0,IF(C328="в год",B328/12,B328))</f>
        <v/>
      </c>
      <c r="F328" s="4" t="n"/>
    </row>
    <row r="329">
      <c r="B329" s="7" t="n"/>
      <c r="E329" s="7">
        <f>IF(OR(A329="",D329="Нет"),0,IF(C329="в год",B329/12,B329))</f>
        <v/>
      </c>
      <c r="F329" s="4" t="n"/>
    </row>
    <row r="330">
      <c r="B330" s="7" t="n"/>
      <c r="E330" s="7">
        <f>IF(OR(A330="",D330="Нет"),0,IF(C330="в год",B330/12,B330))</f>
        <v/>
      </c>
      <c r="F330" s="4" t="n"/>
    </row>
    <row r="331">
      <c r="B331" s="7" t="n"/>
      <c r="E331" s="7">
        <f>IF(OR(A331="",D331="Нет"),0,IF(C331="в год",B331/12,B331))</f>
        <v/>
      </c>
      <c r="F331" s="4" t="n"/>
    </row>
    <row r="332">
      <c r="B332" s="7" t="n"/>
      <c r="E332" s="7">
        <f>IF(OR(A332="",D332="Нет"),0,IF(C332="в год",B332/12,B332))</f>
        <v/>
      </c>
      <c r="F332" s="4" t="n"/>
    </row>
    <row r="333">
      <c r="B333" s="7" t="n"/>
      <c r="E333" s="7">
        <f>IF(OR(A333="",D333="Нет"),0,IF(C333="в год",B333/12,B333))</f>
        <v/>
      </c>
      <c r="F333" s="4" t="n"/>
    </row>
    <row r="334">
      <c r="B334" s="7" t="n"/>
      <c r="E334" s="7">
        <f>IF(OR(A334="",D334="Нет"),0,IF(C334="в год",B334/12,B334))</f>
        <v/>
      </c>
      <c r="F334" s="4" t="n"/>
    </row>
    <row r="335">
      <c r="B335" s="7" t="n"/>
      <c r="E335" s="7">
        <f>IF(OR(A335="",D335="Нет"),0,IF(C335="в год",B335/12,B335))</f>
        <v/>
      </c>
      <c r="F335" s="4" t="n"/>
    </row>
    <row r="336">
      <c r="B336" s="7" t="n"/>
      <c r="E336" s="7">
        <f>IF(OR(A336="",D336="Нет"),0,IF(C336="в год",B336/12,B336))</f>
        <v/>
      </c>
      <c r="F336" s="4" t="n"/>
    </row>
    <row r="337">
      <c r="B337" s="7" t="n"/>
      <c r="E337" s="7">
        <f>IF(OR(A337="",D337="Нет"),0,IF(C337="в год",B337/12,B337))</f>
        <v/>
      </c>
      <c r="F337" s="4" t="n"/>
    </row>
    <row r="338">
      <c r="B338" s="7" t="n"/>
      <c r="E338" s="7">
        <f>IF(OR(A338="",D338="Нет"),0,IF(C338="в год",B338/12,B338))</f>
        <v/>
      </c>
      <c r="F338" s="4" t="n"/>
    </row>
    <row r="339">
      <c r="B339" s="7" t="n"/>
      <c r="E339" s="7">
        <f>IF(OR(A339="",D339="Нет"),0,IF(C339="в год",B339/12,B339))</f>
        <v/>
      </c>
      <c r="F339" s="4" t="n"/>
    </row>
    <row r="340">
      <c r="B340" s="7" t="n"/>
      <c r="E340" s="7">
        <f>IF(OR(A340="",D340="Нет"),0,IF(C340="в год",B340/12,B340))</f>
        <v/>
      </c>
      <c r="F340" s="4" t="n"/>
    </row>
    <row r="341">
      <c r="B341" s="7" t="n"/>
      <c r="E341" s="7">
        <f>IF(OR(A341="",D341="Нет"),0,IF(C341="в год",B341/12,B341))</f>
        <v/>
      </c>
      <c r="F341" s="4" t="n"/>
    </row>
    <row r="342">
      <c r="B342" s="7" t="n"/>
      <c r="E342" s="7">
        <f>IF(OR(A342="",D342="Нет"),0,IF(C342="в год",B342/12,B342))</f>
        <v/>
      </c>
      <c r="F342" s="4" t="n"/>
    </row>
    <row r="343">
      <c r="B343" s="7" t="n"/>
      <c r="E343" s="7">
        <f>IF(OR(A343="",D343="Нет"),0,IF(C343="в год",B343/12,B343))</f>
        <v/>
      </c>
      <c r="F343" s="4" t="n"/>
    </row>
    <row r="344">
      <c r="B344" s="7" t="n"/>
      <c r="E344" s="7">
        <f>IF(OR(A344="",D344="Нет"),0,IF(C344="в год",B344/12,B344))</f>
        <v/>
      </c>
      <c r="F344" s="4" t="n"/>
    </row>
    <row r="345">
      <c r="B345" s="7" t="n"/>
      <c r="E345" s="7">
        <f>IF(OR(A345="",D345="Нет"),0,IF(C345="в год",B345/12,B345))</f>
        <v/>
      </c>
      <c r="F345" s="4" t="n"/>
    </row>
    <row r="346">
      <c r="B346" s="7" t="n"/>
      <c r="E346" s="7">
        <f>IF(OR(A346="",D346="Нет"),0,IF(C346="в год",B346/12,B346))</f>
        <v/>
      </c>
      <c r="F346" s="4" t="n"/>
    </row>
    <row r="347">
      <c r="B347" s="7" t="n"/>
      <c r="E347" s="7">
        <f>IF(OR(A347="",D347="Нет"),0,IF(C347="в год",B347/12,B347))</f>
        <v/>
      </c>
      <c r="F347" s="4" t="n"/>
    </row>
    <row r="348">
      <c r="B348" s="7" t="n"/>
      <c r="E348" s="7">
        <f>IF(OR(A348="",D348="Нет"),0,IF(C348="в год",B348/12,B348))</f>
        <v/>
      </c>
      <c r="F348" s="4" t="n"/>
    </row>
    <row r="349">
      <c r="B349" s="7" t="n"/>
      <c r="E349" s="7">
        <f>IF(OR(A349="",D349="Нет"),0,IF(C349="в год",B349/12,B349))</f>
        <v/>
      </c>
      <c r="F349" s="4" t="n"/>
    </row>
    <row r="350">
      <c r="B350" s="7" t="n"/>
      <c r="E350" s="7">
        <f>IF(OR(A350="",D350="Нет"),0,IF(C350="в год",B350/12,B350))</f>
        <v/>
      </c>
      <c r="F350" s="4" t="n"/>
    </row>
    <row r="351">
      <c r="B351" s="7" t="n"/>
      <c r="E351" s="7">
        <f>IF(OR(A351="",D351="Нет"),0,IF(C351="в год",B351/12,B351))</f>
        <v/>
      </c>
      <c r="F351" s="4" t="n"/>
    </row>
    <row r="352">
      <c r="B352" s="7" t="n"/>
      <c r="E352" s="7">
        <f>IF(OR(A352="",D352="Нет"),0,IF(C352="в год",B352/12,B352))</f>
        <v/>
      </c>
      <c r="F352" s="4" t="n"/>
    </row>
    <row r="353">
      <c r="B353" s="7" t="n"/>
      <c r="E353" s="7">
        <f>IF(OR(A353="",D353="Нет"),0,IF(C353="в год",B353/12,B353))</f>
        <v/>
      </c>
      <c r="F353" s="4" t="n"/>
    </row>
    <row r="354">
      <c r="B354" s="7" t="n"/>
      <c r="E354" s="7">
        <f>IF(OR(A354="",D354="Нет"),0,IF(C354="в год",B354/12,B354))</f>
        <v/>
      </c>
      <c r="F354" s="4" t="n"/>
    </row>
    <row r="355">
      <c r="B355" s="7" t="n"/>
      <c r="E355" s="7">
        <f>IF(OR(A355="",D355="Нет"),0,IF(C355="в год",B355/12,B355))</f>
        <v/>
      </c>
      <c r="F355" s="4" t="n"/>
    </row>
    <row r="356">
      <c r="B356" s="7" t="n"/>
      <c r="E356" s="7">
        <f>IF(OR(A356="",D356="Нет"),0,IF(C356="в год",B356/12,B356))</f>
        <v/>
      </c>
      <c r="F356" s="4" t="n"/>
    </row>
    <row r="357">
      <c r="B357" s="7" t="n"/>
      <c r="E357" s="7">
        <f>IF(OR(A357="",D357="Нет"),0,IF(C357="в год",B357/12,B357))</f>
        <v/>
      </c>
      <c r="F357" s="4" t="n"/>
    </row>
    <row r="358">
      <c r="B358" s="7" t="n"/>
      <c r="E358" s="7">
        <f>IF(OR(A358="",D358="Нет"),0,IF(C358="в год",B358/12,B358))</f>
        <v/>
      </c>
      <c r="F358" s="4" t="n"/>
    </row>
    <row r="359">
      <c r="B359" s="7" t="n"/>
      <c r="E359" s="7">
        <f>IF(OR(A359="",D359="Нет"),0,IF(C359="в год",B359/12,B359))</f>
        <v/>
      </c>
      <c r="F359" s="4" t="n"/>
    </row>
    <row r="360">
      <c r="B360" s="7" t="n"/>
      <c r="E360" s="7">
        <f>IF(OR(A360="",D360="Нет"),0,IF(C360="в год",B360/12,B360))</f>
        <v/>
      </c>
      <c r="F360" s="4" t="n"/>
    </row>
    <row r="361">
      <c r="B361" s="7" t="n"/>
      <c r="E361" s="7">
        <f>IF(OR(A361="",D361="Нет"),0,IF(C361="в год",B361/12,B361))</f>
        <v/>
      </c>
      <c r="F361" s="4" t="n"/>
    </row>
    <row r="362">
      <c r="B362" s="7" t="n"/>
      <c r="E362" s="7">
        <f>IF(OR(A362="",D362="Нет"),0,IF(C362="в год",B362/12,B362))</f>
        <v/>
      </c>
      <c r="F362" s="4" t="n"/>
    </row>
    <row r="363">
      <c r="B363" s="7" t="n"/>
      <c r="E363" s="7">
        <f>IF(OR(A363="",D363="Нет"),0,IF(C363="в год",B363/12,B363))</f>
        <v/>
      </c>
      <c r="F363" s="4" t="n"/>
    </row>
    <row r="364">
      <c r="B364" s="7" t="n"/>
      <c r="E364" s="7">
        <f>IF(OR(A364="",D364="Нет"),0,IF(C364="в год",B364/12,B364))</f>
        <v/>
      </c>
      <c r="F364" s="4" t="n"/>
    </row>
    <row r="365">
      <c r="B365" s="7" t="n"/>
      <c r="E365" s="7">
        <f>IF(OR(A365="",D365="Нет"),0,IF(C365="в год",B365/12,B365))</f>
        <v/>
      </c>
      <c r="F365" s="4" t="n"/>
    </row>
    <row r="366">
      <c r="B366" s="7" t="n"/>
      <c r="E366" s="7">
        <f>IF(OR(A366="",D366="Нет"),0,IF(C366="в год",B366/12,B366))</f>
        <v/>
      </c>
      <c r="F366" s="4" t="n"/>
    </row>
    <row r="367">
      <c r="B367" s="7" t="n"/>
      <c r="E367" s="7">
        <f>IF(OR(A367="",D367="Нет"),0,IF(C367="в год",B367/12,B367))</f>
        <v/>
      </c>
      <c r="F367" s="4" t="n"/>
    </row>
    <row r="368">
      <c r="B368" s="7" t="n"/>
      <c r="E368" s="7">
        <f>IF(OR(A368="",D368="Нет"),0,IF(C368="в год",B368/12,B368))</f>
        <v/>
      </c>
      <c r="F368" s="4" t="n"/>
    </row>
    <row r="369">
      <c r="B369" s="7" t="n"/>
      <c r="E369" s="7">
        <f>IF(OR(A369="",D369="Нет"),0,IF(C369="в год",B369/12,B369))</f>
        <v/>
      </c>
      <c r="F369" s="4" t="n"/>
    </row>
    <row r="370">
      <c r="B370" s="7" t="n"/>
      <c r="E370" s="7">
        <f>IF(OR(A370="",D370="Нет"),0,IF(C370="в год",B370/12,B370))</f>
        <v/>
      </c>
      <c r="F370" s="4" t="n"/>
    </row>
    <row r="371">
      <c r="B371" s="7" t="n"/>
      <c r="E371" s="7">
        <f>IF(OR(A371="",D371="Нет"),0,IF(C371="в год",B371/12,B371))</f>
        <v/>
      </c>
      <c r="F371" s="4" t="n"/>
    </row>
    <row r="372">
      <c r="B372" s="7" t="n"/>
      <c r="E372" s="7">
        <f>IF(OR(A372="",D372="Нет"),0,IF(C372="в год",B372/12,B372))</f>
        <v/>
      </c>
      <c r="F372" s="4" t="n"/>
    </row>
    <row r="373">
      <c r="B373" s="7" t="n"/>
      <c r="E373" s="7">
        <f>IF(OR(A373="",D373="Нет"),0,IF(C373="в год",B373/12,B373))</f>
        <v/>
      </c>
      <c r="F373" s="4" t="n"/>
    </row>
    <row r="374">
      <c r="B374" s="7" t="n"/>
      <c r="E374" s="7">
        <f>IF(OR(A374="",D374="Нет"),0,IF(C374="в год",B374/12,B374))</f>
        <v/>
      </c>
      <c r="F374" s="4" t="n"/>
    </row>
    <row r="375">
      <c r="B375" s="7" t="n"/>
      <c r="E375" s="7">
        <f>IF(OR(A375="",D375="Нет"),0,IF(C375="в год",B375/12,B375))</f>
        <v/>
      </c>
      <c r="F375" s="4" t="n"/>
    </row>
    <row r="376">
      <c r="B376" s="7" t="n"/>
      <c r="E376" s="7">
        <f>IF(OR(A376="",D376="Нет"),0,IF(C376="в год",B376/12,B376))</f>
        <v/>
      </c>
      <c r="F376" s="4" t="n"/>
    </row>
    <row r="377">
      <c r="B377" s="7" t="n"/>
      <c r="E377" s="7">
        <f>IF(OR(A377="",D377="Нет"),0,IF(C377="в год",B377/12,B377))</f>
        <v/>
      </c>
      <c r="F377" s="4" t="n"/>
    </row>
    <row r="378">
      <c r="B378" s="7" t="n"/>
      <c r="E378" s="7">
        <f>IF(OR(A378="",D378="Нет"),0,IF(C378="в год",B378/12,B378))</f>
        <v/>
      </c>
      <c r="F378" s="4" t="n"/>
    </row>
    <row r="379">
      <c r="B379" s="7" t="n"/>
      <c r="E379" s="7">
        <f>IF(OR(A379="",D379="Нет"),0,IF(C379="в год",B379/12,B379))</f>
        <v/>
      </c>
      <c r="F379" s="4" t="n"/>
    </row>
    <row r="380">
      <c r="B380" s="7" t="n"/>
      <c r="E380" s="7">
        <f>IF(OR(A380="",D380="Нет"),0,IF(C380="в год",B380/12,B380))</f>
        <v/>
      </c>
      <c r="F380" s="4" t="n"/>
    </row>
    <row r="381">
      <c r="B381" s="7" t="n"/>
      <c r="E381" s="7">
        <f>IF(OR(A381="",D381="Нет"),0,IF(C381="в год",B381/12,B381))</f>
        <v/>
      </c>
      <c r="F381" s="4" t="n"/>
    </row>
    <row r="382">
      <c r="B382" s="7" t="n"/>
      <c r="E382" s="7">
        <f>IF(OR(A382="",D382="Нет"),0,IF(C382="в год",B382/12,B382))</f>
        <v/>
      </c>
      <c r="F382" s="4" t="n"/>
    </row>
    <row r="383">
      <c r="B383" s="7" t="n"/>
      <c r="E383" s="7">
        <f>IF(OR(A383="",D383="Нет"),0,IF(C383="в год",B383/12,B383))</f>
        <v/>
      </c>
      <c r="F383" s="4" t="n"/>
    </row>
    <row r="384">
      <c r="B384" s="7" t="n"/>
      <c r="E384" s="7">
        <f>IF(OR(A384="",D384="Нет"),0,IF(C384="в год",B384/12,B384))</f>
        <v/>
      </c>
      <c r="F384" s="4" t="n"/>
    </row>
    <row r="385">
      <c r="B385" s="7" t="n"/>
      <c r="E385" s="7">
        <f>IF(OR(A385="",D385="Нет"),0,IF(C385="в год",B385/12,B385))</f>
        <v/>
      </c>
      <c r="F385" s="4" t="n"/>
    </row>
    <row r="386">
      <c r="B386" s="7" t="n"/>
      <c r="E386" s="7">
        <f>IF(OR(A386="",D386="Нет"),0,IF(C386="в год",B386/12,B386))</f>
        <v/>
      </c>
      <c r="F386" s="4" t="n"/>
    </row>
    <row r="387">
      <c r="B387" s="7" t="n"/>
      <c r="E387" s="7">
        <f>IF(OR(A387="",D387="Нет"),0,IF(C387="в год",B387/12,B387))</f>
        <v/>
      </c>
      <c r="F387" s="4" t="n"/>
    </row>
    <row r="388">
      <c r="B388" s="7" t="n"/>
      <c r="E388" s="7">
        <f>IF(OR(A388="",D388="Нет"),0,IF(C388="в год",B388/12,B388))</f>
        <v/>
      </c>
      <c r="F388" s="4" t="n"/>
    </row>
    <row r="389">
      <c r="B389" s="7" t="n"/>
      <c r="E389" s="7">
        <f>IF(OR(A389="",D389="Нет"),0,IF(C389="в год",B389/12,B389))</f>
        <v/>
      </c>
      <c r="F389" s="4" t="n"/>
    </row>
    <row r="390">
      <c r="B390" s="7" t="n"/>
      <c r="E390" s="7">
        <f>IF(OR(A390="",D390="Нет"),0,IF(C390="в год",B390/12,B390))</f>
        <v/>
      </c>
      <c r="F390" s="4" t="n"/>
    </row>
    <row r="391">
      <c r="B391" s="7" t="n"/>
      <c r="E391" s="7">
        <f>IF(OR(A391="",D391="Нет"),0,IF(C391="в год",B391/12,B391))</f>
        <v/>
      </c>
      <c r="F391" s="4" t="n"/>
    </row>
    <row r="392">
      <c r="B392" s="7" t="n"/>
      <c r="E392" s="7">
        <f>IF(OR(A392="",D392="Нет"),0,IF(C392="в год",B392/12,B392))</f>
        <v/>
      </c>
      <c r="F392" s="4" t="n"/>
    </row>
    <row r="393">
      <c r="B393" s="7" t="n"/>
      <c r="E393" s="7">
        <f>IF(OR(A393="",D393="Нет"),0,IF(C393="в год",B393/12,B393))</f>
        <v/>
      </c>
      <c r="F393" s="4" t="n"/>
    </row>
    <row r="394">
      <c r="B394" s="7" t="n"/>
      <c r="E394" s="7">
        <f>IF(OR(A394="",D394="Нет"),0,IF(C394="в год",B394/12,B394))</f>
        <v/>
      </c>
      <c r="F394" s="4" t="n"/>
    </row>
    <row r="395">
      <c r="B395" s="7" t="n"/>
      <c r="E395" s="7">
        <f>IF(OR(A395="",D395="Нет"),0,IF(C395="в год",B395/12,B395))</f>
        <v/>
      </c>
      <c r="F395" s="4" t="n"/>
    </row>
    <row r="396">
      <c r="B396" s="7" t="n"/>
      <c r="E396" s="7">
        <f>IF(OR(A396="",D396="Нет"),0,IF(C396="в год",B396/12,B396))</f>
        <v/>
      </c>
      <c r="F396" s="4" t="n"/>
    </row>
    <row r="397">
      <c r="B397" s="7" t="n"/>
      <c r="E397" s="7">
        <f>IF(OR(A397="",D397="Нет"),0,IF(C397="в год",B397/12,B397))</f>
        <v/>
      </c>
      <c r="F397" s="4" t="n"/>
    </row>
    <row r="398">
      <c r="B398" s="7" t="n"/>
      <c r="E398" s="7">
        <f>IF(OR(A398="",D398="Нет"),0,IF(C398="в год",B398/12,B398))</f>
        <v/>
      </c>
      <c r="F398" s="4" t="n"/>
    </row>
    <row r="399">
      <c r="B399" s="7" t="n"/>
      <c r="E399" s="7">
        <f>IF(OR(A399="",D399="Нет"),0,IF(C399="в год",B399/12,B399))</f>
        <v/>
      </c>
      <c r="F399" s="4" t="n"/>
    </row>
    <row r="400">
      <c r="B400" s="7" t="n"/>
      <c r="E400" s="7">
        <f>IF(OR(A400="",D400="Нет"),0,IF(C400="в год",B400/12,B400))</f>
        <v/>
      </c>
      <c r="F400" s="4" t="n"/>
    </row>
    <row r="401">
      <c r="B401" s="7" t="n"/>
      <c r="E401" s="7">
        <f>IF(OR(A401="",D401="Нет"),0,IF(C401="в год",B401/12,B401))</f>
        <v/>
      </c>
      <c r="F401" s="4" t="n"/>
    </row>
    <row r="402">
      <c r="B402" s="7" t="n"/>
      <c r="E402" s="7">
        <f>IF(OR(A402="",D402="Нет"),0,IF(C402="в год",B402/12,B402))</f>
        <v/>
      </c>
      <c r="F402" s="4" t="n"/>
    </row>
    <row r="403">
      <c r="B403" s="7" t="n"/>
      <c r="E403" s="7">
        <f>IF(OR(A403="",D403="Нет"),0,IF(C403="в год",B403/12,B403))</f>
        <v/>
      </c>
      <c r="F403" s="4" t="n"/>
    </row>
    <row r="404">
      <c r="B404" s="7" t="n"/>
      <c r="E404" s="7">
        <f>IF(OR(A404="",D404="Нет"),0,IF(C404="в год",B404/12,B404))</f>
        <v/>
      </c>
      <c r="F404" s="4" t="n"/>
    </row>
    <row r="405">
      <c r="B405" s="7" t="n"/>
      <c r="E405" s="7">
        <f>IF(OR(A405="",D405="Нет"),0,IF(C405="в год",B405/12,B405))</f>
        <v/>
      </c>
      <c r="F405" s="4" t="n"/>
    </row>
    <row r="406">
      <c r="B406" s="7" t="n"/>
      <c r="E406" s="7">
        <f>IF(OR(A406="",D406="Нет"),0,IF(C406="в год",B406/12,B406))</f>
        <v/>
      </c>
      <c r="F406" s="4" t="n"/>
    </row>
    <row r="407">
      <c r="B407" s="7" t="n"/>
      <c r="E407" s="7">
        <f>IF(OR(A407="",D407="Нет"),0,IF(C407="в год",B407/12,B407))</f>
        <v/>
      </c>
      <c r="F407" s="4" t="n"/>
    </row>
    <row r="408">
      <c r="B408" s="7" t="n"/>
      <c r="E408" s="7">
        <f>IF(OR(A408="",D408="Нет"),0,IF(C408="в год",B408/12,B408))</f>
        <v/>
      </c>
      <c r="F408" s="4" t="n"/>
    </row>
    <row r="409">
      <c r="B409" s="7" t="n"/>
      <c r="E409" s="7">
        <f>IF(OR(A409="",D409="Нет"),0,IF(C409="в год",B409/12,B409))</f>
        <v/>
      </c>
      <c r="F409" s="4" t="n"/>
    </row>
    <row r="410">
      <c r="B410" s="7" t="n"/>
      <c r="E410" s="7">
        <f>IF(OR(A410="",D410="Нет"),0,IF(C410="в год",B410/12,B410))</f>
        <v/>
      </c>
      <c r="F410" s="4" t="n"/>
    </row>
    <row r="411">
      <c r="B411" s="7" t="n"/>
      <c r="E411" s="7">
        <f>IF(OR(A411="",D411="Нет"),0,IF(C411="в год",B411/12,B411))</f>
        <v/>
      </c>
      <c r="F411" s="4" t="n"/>
    </row>
    <row r="412">
      <c r="B412" s="7" t="n"/>
      <c r="E412" s="7">
        <f>IF(OR(A412="",D412="Нет"),0,IF(C412="в год",B412/12,B412))</f>
        <v/>
      </c>
      <c r="F412" s="4" t="n"/>
    </row>
    <row r="413">
      <c r="B413" s="7" t="n"/>
      <c r="E413" s="7">
        <f>IF(OR(A413="",D413="Нет"),0,IF(C413="в год",B413/12,B413))</f>
        <v/>
      </c>
      <c r="F413" s="4" t="n"/>
    </row>
    <row r="414">
      <c r="B414" s="7" t="n"/>
      <c r="E414" s="7">
        <f>IF(OR(A414="",D414="Нет"),0,IF(C414="в год",B414/12,B414))</f>
        <v/>
      </c>
      <c r="F414" s="4" t="n"/>
    </row>
    <row r="415">
      <c r="B415" s="7" t="n"/>
      <c r="E415" s="7">
        <f>IF(OR(A415="",D415="Нет"),0,IF(C415="в год",B415/12,B415))</f>
        <v/>
      </c>
      <c r="F415" s="4" t="n"/>
    </row>
    <row r="416">
      <c r="B416" s="7" t="n"/>
      <c r="E416" s="7">
        <f>IF(OR(A416="",D416="Нет"),0,IF(C416="в год",B416/12,B416))</f>
        <v/>
      </c>
      <c r="F416" s="4" t="n"/>
    </row>
    <row r="417">
      <c r="B417" s="7" t="n"/>
      <c r="E417" s="7">
        <f>IF(OR(A417="",D417="Нет"),0,IF(C417="в год",B417/12,B417))</f>
        <v/>
      </c>
      <c r="F417" s="4" t="n"/>
    </row>
    <row r="418">
      <c r="B418" s="7" t="n"/>
      <c r="E418" s="7">
        <f>IF(OR(A418="",D418="Нет"),0,IF(C418="в год",B418/12,B418))</f>
        <v/>
      </c>
      <c r="F418" s="4" t="n"/>
    </row>
    <row r="419">
      <c r="B419" s="7" t="n"/>
      <c r="E419" s="7">
        <f>IF(OR(A419="",D419="Нет"),0,IF(C419="в год",B419/12,B419))</f>
        <v/>
      </c>
      <c r="F419" s="4" t="n"/>
    </row>
    <row r="420">
      <c r="B420" s="7" t="n"/>
      <c r="E420" s="7">
        <f>IF(OR(A420="",D420="Нет"),0,IF(C420="в год",B420/12,B420))</f>
        <v/>
      </c>
      <c r="F420" s="4" t="n"/>
    </row>
    <row r="421">
      <c r="B421" s="7" t="n"/>
      <c r="E421" s="7">
        <f>IF(OR(A421="",D421="Нет"),0,IF(C421="в год",B421/12,B421))</f>
        <v/>
      </c>
      <c r="F421" s="4" t="n"/>
    </row>
    <row r="422">
      <c r="B422" s="7" t="n"/>
      <c r="E422" s="7">
        <f>IF(OR(A422="",D422="Нет"),0,IF(C422="в год",B422/12,B422))</f>
        <v/>
      </c>
      <c r="F422" s="4" t="n"/>
    </row>
    <row r="423">
      <c r="B423" s="7" t="n"/>
      <c r="E423" s="7">
        <f>IF(OR(A423="",D423="Нет"),0,IF(C423="в год",B423/12,B423))</f>
        <v/>
      </c>
      <c r="F423" s="4" t="n"/>
    </row>
    <row r="424">
      <c r="B424" s="7" t="n"/>
      <c r="E424" s="7">
        <f>IF(OR(A424="",D424="Нет"),0,IF(C424="в год",B424/12,B424))</f>
        <v/>
      </c>
      <c r="F424" s="4" t="n"/>
    </row>
    <row r="425">
      <c r="B425" s="7" t="n"/>
      <c r="E425" s="7">
        <f>IF(OR(A425="",D425="Нет"),0,IF(C425="в год",B425/12,B425))</f>
        <v/>
      </c>
      <c r="F425" s="4" t="n"/>
    </row>
    <row r="426">
      <c r="B426" s="7" t="n"/>
      <c r="E426" s="7">
        <f>IF(OR(A426="",D426="Нет"),0,IF(C426="в год",B426/12,B426))</f>
        <v/>
      </c>
      <c r="F426" s="4" t="n"/>
    </row>
    <row r="427">
      <c r="B427" s="7" t="n"/>
      <c r="E427" s="7">
        <f>IF(OR(A427="",D427="Нет"),0,IF(C427="в год",B427/12,B427))</f>
        <v/>
      </c>
      <c r="F427" s="4" t="n"/>
    </row>
    <row r="428">
      <c r="B428" s="7" t="n"/>
      <c r="E428" s="7">
        <f>IF(OR(A428="",D428="Нет"),0,IF(C428="в год",B428/12,B428))</f>
        <v/>
      </c>
      <c r="F428" s="4" t="n"/>
    </row>
    <row r="429">
      <c r="B429" s="7" t="n"/>
      <c r="E429" s="7">
        <f>IF(OR(A429="",D429="Нет"),0,IF(C429="в год",B429/12,B429))</f>
        <v/>
      </c>
      <c r="F429" s="4" t="n"/>
    </row>
    <row r="430">
      <c r="B430" s="7" t="n"/>
      <c r="E430" s="7">
        <f>IF(OR(A430="",D430="Нет"),0,IF(C430="в год",B430/12,B430))</f>
        <v/>
      </c>
      <c r="F430" s="4" t="n"/>
    </row>
    <row r="431">
      <c r="B431" s="7" t="n"/>
      <c r="E431" s="7">
        <f>IF(OR(A431="",D431="Нет"),0,IF(C431="в год",B431/12,B431))</f>
        <v/>
      </c>
      <c r="F431" s="4" t="n"/>
    </row>
    <row r="432">
      <c r="B432" s="7" t="n"/>
      <c r="E432" s="7">
        <f>IF(OR(A432="",D432="Нет"),0,IF(C432="в год",B432/12,B432))</f>
        <v/>
      </c>
      <c r="F432" s="4" t="n"/>
    </row>
    <row r="433">
      <c r="B433" s="7" t="n"/>
      <c r="E433" s="7">
        <f>IF(OR(A433="",D433="Нет"),0,IF(C433="в год",B433/12,B433))</f>
        <v/>
      </c>
      <c r="F433" s="4" t="n"/>
    </row>
    <row r="434">
      <c r="B434" s="7" t="n"/>
      <c r="E434" s="7">
        <f>IF(OR(A434="",D434="Нет"),0,IF(C434="в год",B434/12,B434))</f>
        <v/>
      </c>
      <c r="F434" s="4" t="n"/>
    </row>
    <row r="435">
      <c r="B435" s="7" t="n"/>
      <c r="E435" s="7">
        <f>IF(OR(A435="",D435="Нет"),0,IF(C435="в год",B435/12,B435))</f>
        <v/>
      </c>
      <c r="F435" s="4" t="n"/>
    </row>
    <row r="436">
      <c r="B436" s="7" t="n"/>
      <c r="E436" s="7">
        <f>IF(OR(A436="",D436="Нет"),0,IF(C436="в год",B436/12,B436))</f>
        <v/>
      </c>
      <c r="F436" s="4" t="n"/>
    </row>
    <row r="437">
      <c r="B437" s="7" t="n"/>
      <c r="E437" s="7">
        <f>IF(OR(A437="",D437="Нет"),0,IF(C437="в год",B437/12,B437))</f>
        <v/>
      </c>
      <c r="F437" s="4" t="n"/>
    </row>
    <row r="438">
      <c r="B438" s="7" t="n"/>
      <c r="E438" s="7">
        <f>IF(OR(A438="",D438="Нет"),0,IF(C438="в год",B438/12,B438))</f>
        <v/>
      </c>
      <c r="F438" s="4" t="n"/>
    </row>
    <row r="439">
      <c r="B439" s="7" t="n"/>
      <c r="E439" s="7">
        <f>IF(OR(A439="",D439="Нет"),0,IF(C439="в год",B439/12,B439))</f>
        <v/>
      </c>
      <c r="F439" s="4" t="n"/>
    </row>
    <row r="440">
      <c r="B440" s="7" t="n"/>
      <c r="E440" s="7">
        <f>IF(OR(A440="",D440="Нет"),0,IF(C440="в год",B440/12,B440))</f>
        <v/>
      </c>
      <c r="F440" s="4" t="n"/>
    </row>
    <row r="441">
      <c r="B441" s="7" t="n"/>
      <c r="E441" s="7">
        <f>IF(OR(A441="",D441="Нет"),0,IF(C441="в год",B441/12,B441))</f>
        <v/>
      </c>
      <c r="F441" s="4" t="n"/>
    </row>
    <row r="442">
      <c r="B442" s="7" t="n"/>
      <c r="E442" s="7">
        <f>IF(OR(A442="",D442="Нет"),0,IF(C442="в год",B442/12,B442))</f>
        <v/>
      </c>
      <c r="F442" s="4" t="n"/>
    </row>
    <row r="443">
      <c r="B443" s="7" t="n"/>
      <c r="E443" s="7">
        <f>IF(OR(A443="",D443="Нет"),0,IF(C443="в год",B443/12,B443))</f>
        <v/>
      </c>
      <c r="F443" s="4" t="n"/>
    </row>
    <row r="444">
      <c r="B444" s="7" t="n"/>
      <c r="E444" s="7">
        <f>IF(OR(A444="",D444="Нет"),0,IF(C444="в год",B444/12,B444))</f>
        <v/>
      </c>
      <c r="F444" s="4" t="n"/>
    </row>
    <row r="445">
      <c r="B445" s="7" t="n"/>
      <c r="E445" s="7">
        <f>IF(OR(A445="",D445="Нет"),0,IF(C445="в год",B445/12,B445))</f>
        <v/>
      </c>
      <c r="F445" s="4" t="n"/>
    </row>
    <row r="446">
      <c r="B446" s="7" t="n"/>
      <c r="E446" s="7">
        <f>IF(OR(A446="",D446="Нет"),0,IF(C446="в год",B446/12,B446))</f>
        <v/>
      </c>
      <c r="F446" s="4" t="n"/>
    </row>
    <row r="447">
      <c r="B447" s="7" t="n"/>
      <c r="E447" s="7">
        <f>IF(OR(A447="",D447="Нет"),0,IF(C447="в год",B447/12,B447))</f>
        <v/>
      </c>
      <c r="F447" s="4" t="n"/>
    </row>
    <row r="448">
      <c r="B448" s="7" t="n"/>
      <c r="E448" s="7">
        <f>IF(OR(A448="",D448="Нет"),0,IF(C448="в год",B448/12,B448))</f>
        <v/>
      </c>
      <c r="F448" s="4" t="n"/>
    </row>
    <row r="449">
      <c r="B449" s="7" t="n"/>
      <c r="E449" s="7">
        <f>IF(OR(A449="",D449="Нет"),0,IF(C449="в год",B449/12,B449))</f>
        <v/>
      </c>
      <c r="F449" s="4" t="n"/>
    </row>
    <row r="450">
      <c r="B450" s="7" t="n"/>
      <c r="E450" s="7">
        <f>IF(OR(A450="",D450="Нет"),0,IF(C450="в год",B450/12,B450))</f>
        <v/>
      </c>
      <c r="F450" s="4" t="n"/>
    </row>
    <row r="451">
      <c r="B451" s="7" t="n"/>
      <c r="E451" s="7">
        <f>IF(OR(A451="",D451="Нет"),0,IF(C451="в год",B451/12,B451))</f>
        <v/>
      </c>
      <c r="F451" s="4" t="n"/>
    </row>
    <row r="452">
      <c r="B452" s="7" t="n"/>
      <c r="E452" s="7">
        <f>IF(OR(A452="",D452="Нет"),0,IF(C452="в год",B452/12,B452))</f>
        <v/>
      </c>
      <c r="F452" s="4" t="n"/>
    </row>
    <row r="453">
      <c r="B453" s="7" t="n"/>
      <c r="E453" s="7">
        <f>IF(OR(A453="",D453="Нет"),0,IF(C453="в год",B453/12,B453))</f>
        <v/>
      </c>
      <c r="F453" s="4" t="n"/>
    </row>
    <row r="454">
      <c r="B454" s="7" t="n"/>
      <c r="E454" s="7">
        <f>IF(OR(A454="",D454="Нет"),0,IF(C454="в год",B454/12,B454))</f>
        <v/>
      </c>
      <c r="F454" s="4" t="n"/>
    </row>
    <row r="455">
      <c r="B455" s="7" t="n"/>
      <c r="E455" s="7">
        <f>IF(OR(A455="",D455="Нет"),0,IF(C455="в год",B455/12,B455))</f>
        <v/>
      </c>
      <c r="F455" s="4" t="n"/>
    </row>
    <row r="456">
      <c r="B456" s="7" t="n"/>
      <c r="E456" s="7">
        <f>IF(OR(A456="",D456="Нет"),0,IF(C456="в год",B456/12,B456))</f>
        <v/>
      </c>
      <c r="F456" s="4" t="n"/>
    </row>
    <row r="457">
      <c r="B457" s="7" t="n"/>
      <c r="E457" s="7">
        <f>IF(OR(A457="",D457="Нет"),0,IF(C457="в год",B457/12,B457))</f>
        <v/>
      </c>
      <c r="F457" s="4" t="n"/>
    </row>
    <row r="458">
      <c r="B458" s="7" t="n"/>
      <c r="E458" s="7">
        <f>IF(OR(A458="",D458="Нет"),0,IF(C458="в год",B458/12,B458))</f>
        <v/>
      </c>
      <c r="F458" s="4" t="n"/>
    </row>
    <row r="459">
      <c r="B459" s="7" t="n"/>
      <c r="E459" s="7">
        <f>IF(OR(A459="",D459="Нет"),0,IF(C459="в год",B459/12,B459))</f>
        <v/>
      </c>
      <c r="F459" s="4" t="n"/>
    </row>
    <row r="460">
      <c r="B460" s="7" t="n"/>
      <c r="E460" s="7">
        <f>IF(OR(A460="",D460="Нет"),0,IF(C460="в год",B460/12,B460))</f>
        <v/>
      </c>
      <c r="F460" s="4" t="n"/>
    </row>
    <row r="461">
      <c r="B461" s="7" t="n"/>
      <c r="E461" s="7">
        <f>IF(OR(A461="",D461="Нет"),0,IF(C461="в год",B461/12,B461))</f>
        <v/>
      </c>
      <c r="F461" s="4" t="n"/>
    </row>
    <row r="462">
      <c r="B462" s="7" t="n"/>
      <c r="E462" s="7">
        <f>IF(OR(A462="",D462="Нет"),0,IF(C462="в год",B462/12,B462))</f>
        <v/>
      </c>
      <c r="F462" s="4" t="n"/>
    </row>
    <row r="463">
      <c r="B463" s="7" t="n"/>
      <c r="E463" s="7">
        <f>IF(OR(A463="",D463="Нет"),0,IF(C463="в год",B463/12,B463))</f>
        <v/>
      </c>
      <c r="F463" s="4" t="n"/>
    </row>
    <row r="464">
      <c r="B464" s="7" t="n"/>
      <c r="E464" s="7">
        <f>IF(OR(A464="",D464="Нет"),0,IF(C464="в год",B464/12,B464))</f>
        <v/>
      </c>
      <c r="F464" s="4" t="n"/>
    </row>
    <row r="465">
      <c r="B465" s="7" t="n"/>
      <c r="E465" s="7">
        <f>IF(OR(A465="",D465="Нет"),0,IF(C465="в год",B465/12,B465))</f>
        <v/>
      </c>
      <c r="F465" s="4" t="n"/>
    </row>
    <row r="466">
      <c r="B466" s="7" t="n"/>
      <c r="E466" s="7">
        <f>IF(OR(A466="",D466="Нет"),0,IF(C466="в год",B466/12,B466))</f>
        <v/>
      </c>
      <c r="F466" s="4" t="n"/>
    </row>
    <row r="467">
      <c r="B467" s="7" t="n"/>
      <c r="E467" s="7">
        <f>IF(OR(A467="",D467="Нет"),0,IF(C467="в год",B467/12,B467))</f>
        <v/>
      </c>
      <c r="F467" s="4" t="n"/>
    </row>
    <row r="468">
      <c r="B468" s="7" t="n"/>
      <c r="E468" s="7">
        <f>IF(OR(A468="",D468="Нет"),0,IF(C468="в год",B468/12,B468))</f>
        <v/>
      </c>
      <c r="F468" s="4" t="n"/>
    </row>
    <row r="469">
      <c r="B469" s="7" t="n"/>
      <c r="E469" s="7">
        <f>IF(OR(A469="",D469="Нет"),0,IF(C469="в год",B469/12,B469))</f>
        <v/>
      </c>
      <c r="F469" s="4" t="n"/>
    </row>
    <row r="470">
      <c r="B470" s="7" t="n"/>
      <c r="E470" s="7">
        <f>IF(OR(A470="",D470="Нет"),0,IF(C470="в год",B470/12,B470))</f>
        <v/>
      </c>
      <c r="F470" s="4" t="n"/>
    </row>
    <row r="471">
      <c r="B471" s="7" t="n"/>
      <c r="E471" s="7">
        <f>IF(OR(A471="",D471="Нет"),0,IF(C471="в год",B471/12,B471))</f>
        <v/>
      </c>
      <c r="F471" s="4" t="n"/>
    </row>
    <row r="472">
      <c r="B472" s="7" t="n"/>
      <c r="E472" s="7">
        <f>IF(OR(A472="",D472="Нет"),0,IF(C472="в год",B472/12,B472))</f>
        <v/>
      </c>
      <c r="F472" s="4" t="n"/>
    </row>
    <row r="473">
      <c r="B473" s="7" t="n"/>
      <c r="E473" s="7">
        <f>IF(OR(A473="",D473="Нет"),0,IF(C473="в год",B473/12,B473))</f>
        <v/>
      </c>
      <c r="F473" s="4" t="n"/>
    </row>
    <row r="474">
      <c r="B474" s="7" t="n"/>
      <c r="E474" s="7">
        <f>IF(OR(A474="",D474="Нет"),0,IF(C474="в год",B474/12,B474))</f>
        <v/>
      </c>
      <c r="F474" s="4" t="n"/>
    </row>
    <row r="475">
      <c r="B475" s="7" t="n"/>
      <c r="E475" s="7">
        <f>IF(OR(A475="",D475="Нет"),0,IF(C475="в год",B475/12,B475))</f>
        <v/>
      </c>
      <c r="F475" s="4" t="n"/>
    </row>
    <row r="476">
      <c r="B476" s="7" t="n"/>
      <c r="E476" s="7">
        <f>IF(OR(A476="",D476="Нет"),0,IF(C476="в год",B476/12,B476))</f>
        <v/>
      </c>
      <c r="F476" s="4" t="n"/>
    </row>
    <row r="477">
      <c r="B477" s="7" t="n"/>
      <c r="E477" s="7">
        <f>IF(OR(A477="",D477="Нет"),0,IF(C477="в год",B477/12,B477))</f>
        <v/>
      </c>
      <c r="F477" s="4" t="n"/>
    </row>
    <row r="478">
      <c r="B478" s="7" t="n"/>
      <c r="E478" s="7">
        <f>IF(OR(A478="",D478="Нет"),0,IF(C478="в год",B478/12,B478))</f>
        <v/>
      </c>
      <c r="F478" s="4" t="n"/>
    </row>
    <row r="479">
      <c r="B479" s="7" t="n"/>
      <c r="E479" s="7">
        <f>IF(OR(A479="",D479="Нет"),0,IF(C479="в год",B479/12,B479))</f>
        <v/>
      </c>
      <c r="F479" s="4" t="n"/>
    </row>
    <row r="480">
      <c r="B480" s="7" t="n"/>
      <c r="E480" s="7">
        <f>IF(OR(A480="",D480="Нет"),0,IF(C480="в год",B480/12,B480))</f>
        <v/>
      </c>
      <c r="F480" s="4" t="n"/>
    </row>
    <row r="481">
      <c r="B481" s="7" t="n"/>
      <c r="E481" s="7">
        <f>IF(OR(A481="",D481="Нет"),0,IF(C481="в год",B481/12,B481))</f>
        <v/>
      </c>
      <c r="F481" s="4" t="n"/>
    </row>
    <row r="482">
      <c r="B482" s="7" t="n"/>
      <c r="E482" s="7">
        <f>IF(OR(A482="",D482="Нет"),0,IF(C482="в год",B482/12,B482))</f>
        <v/>
      </c>
      <c r="F482" s="4" t="n"/>
    </row>
    <row r="483">
      <c r="B483" s="7" t="n"/>
      <c r="E483" s="7">
        <f>IF(OR(A483="",D483="Нет"),0,IF(C483="в год",B483/12,B483))</f>
        <v/>
      </c>
      <c r="F483" s="4" t="n"/>
    </row>
    <row r="484">
      <c r="B484" s="7" t="n"/>
      <c r="E484" s="7">
        <f>IF(OR(A484="",D484="Нет"),0,IF(C484="в год",B484/12,B484))</f>
        <v/>
      </c>
      <c r="F484" s="4" t="n"/>
    </row>
    <row r="485">
      <c r="B485" s="7" t="n"/>
      <c r="E485" s="7">
        <f>IF(OR(A485="",D485="Нет"),0,IF(C485="в год",B485/12,B485))</f>
        <v/>
      </c>
      <c r="F485" s="4" t="n"/>
    </row>
    <row r="486">
      <c r="B486" s="7" t="n"/>
      <c r="E486" s="7">
        <f>IF(OR(A486="",D486="Нет"),0,IF(C486="в год",B486/12,B486))</f>
        <v/>
      </c>
      <c r="F486" s="4" t="n"/>
    </row>
    <row r="487">
      <c r="B487" s="7" t="n"/>
      <c r="E487" s="7">
        <f>IF(OR(A487="",D487="Нет"),0,IF(C487="в год",B487/12,B487))</f>
        <v/>
      </c>
      <c r="F487" s="4" t="n"/>
    </row>
    <row r="488">
      <c r="B488" s="7" t="n"/>
      <c r="E488" s="7">
        <f>IF(OR(A488="",D488="Нет"),0,IF(C488="в год",B488/12,B488))</f>
        <v/>
      </c>
      <c r="F488" s="4" t="n"/>
    </row>
    <row r="489">
      <c r="B489" s="7" t="n"/>
      <c r="E489" s="7">
        <f>IF(OR(A489="",D489="Нет"),0,IF(C489="в год",B489/12,B489))</f>
        <v/>
      </c>
      <c r="F489" s="4" t="n"/>
    </row>
    <row r="490">
      <c r="B490" s="7" t="n"/>
      <c r="E490" s="7">
        <f>IF(OR(A490="",D490="Нет"),0,IF(C490="в год",B490/12,B490))</f>
        <v/>
      </c>
      <c r="F490" s="4" t="n"/>
    </row>
    <row r="491">
      <c r="B491" s="7" t="n"/>
      <c r="E491" s="7">
        <f>IF(OR(A491="",D491="Нет"),0,IF(C491="в год",B491/12,B491))</f>
        <v/>
      </c>
      <c r="F491" s="4" t="n"/>
    </row>
    <row r="492">
      <c r="B492" s="7" t="n"/>
      <c r="E492" s="7">
        <f>IF(OR(A492="",D492="Нет"),0,IF(C492="в год",B492/12,B492))</f>
        <v/>
      </c>
      <c r="F492" s="4" t="n"/>
    </row>
    <row r="493">
      <c r="B493" s="7" t="n"/>
      <c r="E493" s="7">
        <f>IF(OR(A493="",D493="Нет"),0,IF(C493="в год",B493/12,B493))</f>
        <v/>
      </c>
      <c r="F493" s="4" t="n"/>
    </row>
    <row r="494">
      <c r="B494" s="7" t="n"/>
      <c r="E494" s="7">
        <f>IF(OR(A494="",D494="Нет"),0,IF(C494="в год",B494/12,B494))</f>
        <v/>
      </c>
      <c r="F494" s="4" t="n"/>
    </row>
    <row r="495">
      <c r="B495" s="7" t="n"/>
      <c r="E495" s="7">
        <f>IF(OR(A495="",D495="Нет"),0,IF(C495="в год",B495/12,B495))</f>
        <v/>
      </c>
      <c r="F495" s="4" t="n"/>
    </row>
    <row r="496">
      <c r="B496" s="7" t="n"/>
      <c r="E496" s="7">
        <f>IF(OR(A496="",D496="Нет"),0,IF(C496="в год",B496/12,B496))</f>
        <v/>
      </c>
      <c r="F496" s="4" t="n"/>
    </row>
    <row r="497">
      <c r="B497" s="7" t="n"/>
      <c r="E497" s="7">
        <f>IF(OR(A497="",D497="Нет"),0,IF(C497="в год",B497/12,B497))</f>
        <v/>
      </c>
      <c r="F497" s="4" t="n"/>
    </row>
    <row r="498">
      <c r="B498" s="7" t="n"/>
      <c r="E498" s="7">
        <f>IF(OR(A498="",D498="Нет"),0,IF(C498="в год",B498/12,B498))</f>
        <v/>
      </c>
      <c r="F498" s="4" t="n"/>
    </row>
    <row r="499">
      <c r="B499" s="7" t="n"/>
      <c r="E499" s="7">
        <f>IF(OR(A499="",D499="Нет"),0,IF(C499="в год",B499/12,B499))</f>
        <v/>
      </c>
      <c r="F499" s="4" t="n"/>
    </row>
    <row r="500">
      <c r="B500" s="7" t="n"/>
      <c r="E500" s="7">
        <f>IF(OR(A500="",D500="Нет"),0,IF(C500="в год",B500/12,B500))</f>
        <v/>
      </c>
      <c r="F500" s="4" t="n"/>
    </row>
    <row r="501">
      <c r="E501" s="9">
        <f>SUM(E2:E500)</f>
        <v/>
      </c>
      <c r="G501" s="8" t="inlineStr">
        <is>
          <t>Итого в месяц:</t>
        </is>
      </c>
    </row>
  </sheetData>
  <dataValidations count="2">
    <dataValidation sqref="C2:C500" showDropDown="0" showInputMessage="0" showErrorMessage="0" allowBlank="1" type="list">
      <formula1>=Списки!$E$2:$E$3</formula1>
    </dataValidation>
    <dataValidation sqref="D2:D500" showDropDown="0" showInputMessage="0" showErrorMessage="0" allowBlank="1" type="list">
      <formula1>=Списки!$F$2:$F$3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6" customWidth="1" min="2" max="2"/>
    <col width="18" customWidth="1" min="3" max="3"/>
    <col width="18" customWidth="1" min="4" max="4"/>
    <col width="14" customWidth="1" min="5" max="5"/>
    <col width="18" customWidth="1" min="6" max="6"/>
    <col width="16" customWidth="1" min="7" max="7"/>
    <col width="16" customWidth="1" min="8" max="8"/>
    <col width="16" customWidth="1" min="9" max="9"/>
    <col width="13" customWidth="1" min="10" max="10"/>
  </cols>
  <sheetData>
    <row r="1">
      <c r="A1" s="1" t="inlineStr">
        <is>
          <t>Название (кому / от кого)</t>
        </is>
      </c>
      <c r="B1" s="1" t="inlineStr">
        <is>
          <t>Направление</t>
        </is>
      </c>
      <c r="C1" s="1" t="inlineStr">
        <is>
          <t>Вид</t>
        </is>
      </c>
      <c r="D1" s="1" t="inlineStr">
        <is>
          <t>Исходная сумма (€)</t>
        </is>
      </c>
      <c r="E1" s="1" t="inlineStr">
        <is>
          <t>Ставка, % годовых</t>
        </is>
      </c>
      <c r="F1" s="1" t="inlineStr">
        <is>
          <t>Ежемесячный платёж (€)</t>
        </is>
      </c>
      <c r="G1" s="1" t="inlineStr">
        <is>
          <t>Дата окончания</t>
        </is>
      </c>
      <c r="H1" s="1" t="inlineStr">
        <is>
          <t>Выплачено (€)</t>
        </is>
      </c>
      <c r="I1" s="1" t="inlineStr">
        <is>
          <t>Остаток (€)</t>
        </is>
      </c>
      <c r="J1" s="1" t="inlineStr">
        <is>
          <t>Погашено, %</t>
        </is>
      </c>
    </row>
    <row r="2">
      <c r="D2" s="7" t="n"/>
      <c r="E2" s="17" t="n"/>
      <c r="F2" s="7" t="n"/>
      <c r="G2" s="4" t="n"/>
      <c r="H2" s="7">
        <f>IF(A2="","",SUMIFS(Платежи!$C:$C,Платежи!$B:$B,A2))</f>
        <v/>
      </c>
      <c r="I2" s="7">
        <f>IF(A2="","",MAX(0,D2-H2))</f>
        <v/>
      </c>
      <c r="J2" s="10">
        <f>IF(OR(A2="",D2=0),"",H2/D2)</f>
        <v/>
      </c>
    </row>
    <row r="3">
      <c r="D3" s="7" t="n"/>
      <c r="E3" s="17" t="n"/>
      <c r="F3" s="7" t="n"/>
      <c r="G3" s="4" t="n"/>
      <c r="H3" s="7">
        <f>IF(A3="","",SUMIFS(Платежи!$C:$C,Платежи!$B:$B,A3))</f>
        <v/>
      </c>
      <c r="I3" s="7">
        <f>IF(A3="","",MAX(0,D3-H3))</f>
        <v/>
      </c>
      <c r="J3" s="10">
        <f>IF(OR(A3="",D3=0),"",H3/D3)</f>
        <v/>
      </c>
    </row>
    <row r="4">
      <c r="D4" s="7" t="n"/>
      <c r="E4" s="17" t="n"/>
      <c r="F4" s="7" t="n"/>
      <c r="G4" s="4" t="n"/>
      <c r="H4" s="7">
        <f>IF(A4="","",SUMIFS(Платежи!$C:$C,Платежи!$B:$B,A4))</f>
        <v/>
      </c>
      <c r="I4" s="7">
        <f>IF(A4="","",MAX(0,D4-H4))</f>
        <v/>
      </c>
      <c r="J4" s="10">
        <f>IF(OR(A4="",D4=0),"",H4/D4)</f>
        <v/>
      </c>
    </row>
    <row r="5">
      <c r="D5" s="7" t="n"/>
      <c r="E5" s="17" t="n"/>
      <c r="F5" s="7" t="n"/>
      <c r="G5" s="4" t="n"/>
      <c r="H5" s="7">
        <f>IF(A5="","",SUMIFS(Платежи!$C:$C,Платежи!$B:$B,A5))</f>
        <v/>
      </c>
      <c r="I5" s="7">
        <f>IF(A5="","",MAX(0,D5-H5))</f>
        <v/>
      </c>
      <c r="J5" s="10">
        <f>IF(OR(A5="",D5=0),"",H5/D5)</f>
        <v/>
      </c>
    </row>
    <row r="6">
      <c r="D6" s="7" t="n"/>
      <c r="E6" s="17" t="n"/>
      <c r="F6" s="7" t="n"/>
      <c r="G6" s="4" t="n"/>
      <c r="H6" s="7">
        <f>IF(A6="","",SUMIFS(Платежи!$C:$C,Платежи!$B:$B,A6))</f>
        <v/>
      </c>
      <c r="I6" s="7">
        <f>IF(A6="","",MAX(0,D6-H6))</f>
        <v/>
      </c>
      <c r="J6" s="10">
        <f>IF(OR(A6="",D6=0),"",H6/D6)</f>
        <v/>
      </c>
    </row>
    <row r="7">
      <c r="D7" s="7" t="n"/>
      <c r="E7" s="17" t="n"/>
      <c r="F7" s="7" t="n"/>
      <c r="G7" s="4" t="n"/>
      <c r="H7" s="7">
        <f>IF(A7="","",SUMIFS(Платежи!$C:$C,Платежи!$B:$B,A7))</f>
        <v/>
      </c>
      <c r="I7" s="7">
        <f>IF(A7="","",MAX(0,D7-H7))</f>
        <v/>
      </c>
      <c r="J7" s="10">
        <f>IF(OR(A7="",D7=0),"",H7/D7)</f>
        <v/>
      </c>
    </row>
    <row r="8">
      <c r="D8" s="7" t="n"/>
      <c r="E8" s="17" t="n"/>
      <c r="F8" s="7" t="n"/>
      <c r="G8" s="4" t="n"/>
      <c r="H8" s="7">
        <f>IF(A8="","",SUMIFS(Платежи!$C:$C,Платежи!$B:$B,A8))</f>
        <v/>
      </c>
      <c r="I8" s="7">
        <f>IF(A8="","",MAX(0,D8-H8))</f>
        <v/>
      </c>
      <c r="J8" s="10">
        <f>IF(OR(A8="",D8=0),"",H8/D8)</f>
        <v/>
      </c>
    </row>
    <row r="9">
      <c r="D9" s="7" t="n"/>
      <c r="E9" s="17" t="n"/>
      <c r="F9" s="7" t="n"/>
      <c r="G9" s="4" t="n"/>
      <c r="H9" s="7">
        <f>IF(A9="","",SUMIFS(Платежи!$C:$C,Платежи!$B:$B,A9))</f>
        <v/>
      </c>
      <c r="I9" s="7">
        <f>IF(A9="","",MAX(0,D9-H9))</f>
        <v/>
      </c>
      <c r="J9" s="10">
        <f>IF(OR(A9="",D9=0),"",H9/D9)</f>
        <v/>
      </c>
    </row>
    <row r="10">
      <c r="D10" s="7" t="n"/>
      <c r="E10" s="17" t="n"/>
      <c r="F10" s="7" t="n"/>
      <c r="G10" s="4" t="n"/>
      <c r="H10" s="7">
        <f>IF(A10="","",SUMIFS(Платежи!$C:$C,Платежи!$B:$B,A10))</f>
        <v/>
      </c>
      <c r="I10" s="7">
        <f>IF(A10="","",MAX(0,D10-H10))</f>
        <v/>
      </c>
      <c r="J10" s="10">
        <f>IF(OR(A10="",D10=0),"",H10/D10)</f>
        <v/>
      </c>
    </row>
    <row r="11">
      <c r="D11" s="7" t="n"/>
      <c r="E11" s="17" t="n"/>
      <c r="F11" s="7" t="n"/>
      <c r="G11" s="4" t="n"/>
      <c r="H11" s="7">
        <f>IF(A11="","",SUMIFS(Платежи!$C:$C,Платежи!$B:$B,A11))</f>
        <v/>
      </c>
      <c r="I11" s="7">
        <f>IF(A11="","",MAX(0,D11-H11))</f>
        <v/>
      </c>
      <c r="J11" s="10">
        <f>IF(OR(A11="",D11=0),"",H11/D11)</f>
        <v/>
      </c>
    </row>
    <row r="12">
      <c r="D12" s="7" t="n"/>
      <c r="E12" s="17" t="n"/>
      <c r="F12" s="7" t="n"/>
      <c r="G12" s="4" t="n"/>
      <c r="H12" s="7">
        <f>IF(A12="","",SUMIFS(Платежи!$C:$C,Платежи!$B:$B,A12))</f>
        <v/>
      </c>
      <c r="I12" s="7">
        <f>IF(A12="","",MAX(0,D12-H12))</f>
        <v/>
      </c>
      <c r="J12" s="10">
        <f>IF(OR(A12="",D12=0),"",H12/D12)</f>
        <v/>
      </c>
    </row>
    <row r="13">
      <c r="D13" s="7" t="n"/>
      <c r="E13" s="17" t="n"/>
      <c r="F13" s="7" t="n"/>
      <c r="G13" s="4" t="n"/>
      <c r="H13" s="7">
        <f>IF(A13="","",SUMIFS(Платежи!$C:$C,Платежи!$B:$B,A13))</f>
        <v/>
      </c>
      <c r="I13" s="7">
        <f>IF(A13="","",MAX(0,D13-H13))</f>
        <v/>
      </c>
      <c r="J13" s="10">
        <f>IF(OR(A13="",D13=0),"",H13/D13)</f>
        <v/>
      </c>
    </row>
    <row r="14">
      <c r="D14" s="7" t="n"/>
      <c r="E14" s="17" t="n"/>
      <c r="F14" s="7" t="n"/>
      <c r="G14" s="4" t="n"/>
      <c r="H14" s="7">
        <f>IF(A14="","",SUMIFS(Платежи!$C:$C,Платежи!$B:$B,A14))</f>
        <v/>
      </c>
      <c r="I14" s="7">
        <f>IF(A14="","",MAX(0,D14-H14))</f>
        <v/>
      </c>
      <c r="J14" s="10">
        <f>IF(OR(A14="",D14=0),"",H14/D14)</f>
        <v/>
      </c>
    </row>
    <row r="15">
      <c r="D15" s="7" t="n"/>
      <c r="E15" s="17" t="n"/>
      <c r="F15" s="7" t="n"/>
      <c r="G15" s="4" t="n"/>
      <c r="H15" s="7">
        <f>IF(A15="","",SUMIFS(Платежи!$C:$C,Платежи!$B:$B,A15))</f>
        <v/>
      </c>
      <c r="I15" s="7">
        <f>IF(A15="","",MAX(0,D15-H15))</f>
        <v/>
      </c>
      <c r="J15" s="10">
        <f>IF(OR(A15="",D15=0),"",H15/D15)</f>
        <v/>
      </c>
    </row>
    <row r="16">
      <c r="D16" s="7" t="n"/>
      <c r="E16" s="17" t="n"/>
      <c r="F16" s="7" t="n"/>
      <c r="G16" s="4" t="n"/>
      <c r="H16" s="7">
        <f>IF(A16="","",SUMIFS(Платежи!$C:$C,Платежи!$B:$B,A16))</f>
        <v/>
      </c>
      <c r="I16" s="7">
        <f>IF(A16="","",MAX(0,D16-H16))</f>
        <v/>
      </c>
      <c r="J16" s="10">
        <f>IF(OR(A16="",D16=0),"",H16/D16)</f>
        <v/>
      </c>
    </row>
    <row r="17">
      <c r="D17" s="7" t="n"/>
      <c r="E17" s="17" t="n"/>
      <c r="F17" s="7" t="n"/>
      <c r="G17" s="4" t="n"/>
      <c r="H17" s="7">
        <f>IF(A17="","",SUMIFS(Платежи!$C:$C,Платежи!$B:$B,A17))</f>
        <v/>
      </c>
      <c r="I17" s="7">
        <f>IF(A17="","",MAX(0,D17-H17))</f>
        <v/>
      </c>
      <c r="J17" s="10">
        <f>IF(OR(A17="",D17=0),"",H17/D17)</f>
        <v/>
      </c>
    </row>
    <row r="18">
      <c r="D18" s="7" t="n"/>
      <c r="E18" s="17" t="n"/>
      <c r="F18" s="7" t="n"/>
      <c r="G18" s="4" t="n"/>
      <c r="H18" s="7">
        <f>IF(A18="","",SUMIFS(Платежи!$C:$C,Платежи!$B:$B,A18))</f>
        <v/>
      </c>
      <c r="I18" s="7">
        <f>IF(A18="","",MAX(0,D18-H18))</f>
        <v/>
      </c>
      <c r="J18" s="10">
        <f>IF(OR(A18="",D18=0),"",H18/D18)</f>
        <v/>
      </c>
    </row>
    <row r="19">
      <c r="D19" s="7" t="n"/>
      <c r="E19" s="17" t="n"/>
      <c r="F19" s="7" t="n"/>
      <c r="G19" s="4" t="n"/>
      <c r="H19" s="7">
        <f>IF(A19="","",SUMIFS(Платежи!$C:$C,Платежи!$B:$B,A19))</f>
        <v/>
      </c>
      <c r="I19" s="7">
        <f>IF(A19="","",MAX(0,D19-H19))</f>
        <v/>
      </c>
      <c r="J19" s="10">
        <f>IF(OR(A19="",D19=0),"",H19/D19)</f>
        <v/>
      </c>
    </row>
    <row r="20">
      <c r="D20" s="7" t="n"/>
      <c r="E20" s="17" t="n"/>
      <c r="F20" s="7" t="n"/>
      <c r="G20" s="4" t="n"/>
      <c r="H20" s="7">
        <f>IF(A20="","",SUMIFS(Платежи!$C:$C,Платежи!$B:$B,A20))</f>
        <v/>
      </c>
      <c r="I20" s="7">
        <f>IF(A20="","",MAX(0,D20-H20))</f>
        <v/>
      </c>
      <c r="J20" s="10">
        <f>IF(OR(A20="",D20=0),"",H20/D20)</f>
        <v/>
      </c>
    </row>
    <row r="21">
      <c r="D21" s="7" t="n"/>
      <c r="E21" s="17" t="n"/>
      <c r="F21" s="7" t="n"/>
      <c r="G21" s="4" t="n"/>
      <c r="H21" s="7">
        <f>IF(A21="","",SUMIFS(Платежи!$C:$C,Платежи!$B:$B,A21))</f>
        <v/>
      </c>
      <c r="I21" s="7">
        <f>IF(A21="","",MAX(0,D21-H21))</f>
        <v/>
      </c>
      <c r="J21" s="10">
        <f>IF(OR(A21="",D21=0),"",H21/D21)</f>
        <v/>
      </c>
    </row>
    <row r="22">
      <c r="D22" s="7" t="n"/>
      <c r="E22" s="17" t="n"/>
      <c r="F22" s="7" t="n"/>
      <c r="G22" s="4" t="n"/>
      <c r="H22" s="7">
        <f>IF(A22="","",SUMIFS(Платежи!$C:$C,Платежи!$B:$B,A22))</f>
        <v/>
      </c>
      <c r="I22" s="7">
        <f>IF(A22="","",MAX(0,D22-H22))</f>
        <v/>
      </c>
      <c r="J22" s="10">
        <f>IF(OR(A22="",D22=0),"",H22/D22)</f>
        <v/>
      </c>
    </row>
    <row r="23">
      <c r="D23" s="7" t="n"/>
      <c r="E23" s="17" t="n"/>
      <c r="F23" s="7" t="n"/>
      <c r="G23" s="4" t="n"/>
      <c r="H23" s="7">
        <f>IF(A23="","",SUMIFS(Платежи!$C:$C,Платежи!$B:$B,A23))</f>
        <v/>
      </c>
      <c r="I23" s="7">
        <f>IF(A23="","",MAX(0,D23-H23))</f>
        <v/>
      </c>
      <c r="J23" s="10">
        <f>IF(OR(A23="",D23=0),"",H23/D23)</f>
        <v/>
      </c>
    </row>
    <row r="24">
      <c r="D24" s="7" t="n"/>
      <c r="E24" s="17" t="n"/>
      <c r="F24" s="7" t="n"/>
      <c r="G24" s="4" t="n"/>
      <c r="H24" s="7">
        <f>IF(A24="","",SUMIFS(Платежи!$C:$C,Платежи!$B:$B,A24))</f>
        <v/>
      </c>
      <c r="I24" s="7">
        <f>IF(A24="","",MAX(0,D24-H24))</f>
        <v/>
      </c>
      <c r="J24" s="10">
        <f>IF(OR(A24="",D24=0),"",H24/D24)</f>
        <v/>
      </c>
    </row>
    <row r="25">
      <c r="D25" s="7" t="n"/>
      <c r="E25" s="17" t="n"/>
      <c r="F25" s="7" t="n"/>
      <c r="G25" s="4" t="n"/>
      <c r="H25" s="7">
        <f>IF(A25="","",SUMIFS(Платежи!$C:$C,Платежи!$B:$B,A25))</f>
        <v/>
      </c>
      <c r="I25" s="7">
        <f>IF(A25="","",MAX(0,D25-H25))</f>
        <v/>
      </c>
      <c r="J25" s="10">
        <f>IF(OR(A25="",D25=0),"",H25/D25)</f>
        <v/>
      </c>
    </row>
    <row r="26">
      <c r="D26" s="7" t="n"/>
      <c r="E26" s="17" t="n"/>
      <c r="F26" s="7" t="n"/>
      <c r="G26" s="4" t="n"/>
      <c r="H26" s="7">
        <f>IF(A26="","",SUMIFS(Платежи!$C:$C,Платежи!$B:$B,A26))</f>
        <v/>
      </c>
      <c r="I26" s="7">
        <f>IF(A26="","",MAX(0,D26-H26))</f>
        <v/>
      </c>
      <c r="J26" s="10">
        <f>IF(OR(A26="",D26=0),"",H26/D26)</f>
        <v/>
      </c>
    </row>
    <row r="27">
      <c r="D27" s="7" t="n"/>
      <c r="E27" s="17" t="n"/>
      <c r="F27" s="7" t="n"/>
      <c r="G27" s="4" t="n"/>
      <c r="H27" s="7">
        <f>IF(A27="","",SUMIFS(Платежи!$C:$C,Платежи!$B:$B,A27))</f>
        <v/>
      </c>
      <c r="I27" s="7">
        <f>IF(A27="","",MAX(0,D27-H27))</f>
        <v/>
      </c>
      <c r="J27" s="10">
        <f>IF(OR(A27="",D27=0),"",H27/D27)</f>
        <v/>
      </c>
    </row>
    <row r="28">
      <c r="D28" s="7" t="n"/>
      <c r="E28" s="17" t="n"/>
      <c r="F28" s="7" t="n"/>
      <c r="G28" s="4" t="n"/>
      <c r="H28" s="7">
        <f>IF(A28="","",SUMIFS(Платежи!$C:$C,Платежи!$B:$B,A28))</f>
        <v/>
      </c>
      <c r="I28" s="7">
        <f>IF(A28="","",MAX(0,D28-H28))</f>
        <v/>
      </c>
      <c r="J28" s="10">
        <f>IF(OR(A28="",D28=0),"",H28/D28)</f>
        <v/>
      </c>
    </row>
    <row r="29">
      <c r="D29" s="7" t="n"/>
      <c r="E29" s="17" t="n"/>
      <c r="F29" s="7" t="n"/>
      <c r="G29" s="4" t="n"/>
      <c r="H29" s="7">
        <f>IF(A29="","",SUMIFS(Платежи!$C:$C,Платежи!$B:$B,A29))</f>
        <v/>
      </c>
      <c r="I29" s="7">
        <f>IF(A29="","",MAX(0,D29-H29))</f>
        <v/>
      </c>
      <c r="J29" s="10">
        <f>IF(OR(A29="",D29=0),"",H29/D29)</f>
        <v/>
      </c>
    </row>
    <row r="30">
      <c r="D30" s="7" t="n"/>
      <c r="E30" s="17" t="n"/>
      <c r="F30" s="7" t="n"/>
      <c r="G30" s="4" t="n"/>
      <c r="H30" s="7">
        <f>IF(A30="","",SUMIFS(Платежи!$C:$C,Платежи!$B:$B,A30))</f>
        <v/>
      </c>
      <c r="I30" s="7">
        <f>IF(A30="","",MAX(0,D30-H30))</f>
        <v/>
      </c>
      <c r="J30" s="10">
        <f>IF(OR(A30="",D30=0),"",H30/D30)</f>
        <v/>
      </c>
    </row>
    <row r="31">
      <c r="D31" s="7" t="n"/>
      <c r="E31" s="17" t="n"/>
      <c r="F31" s="7" t="n"/>
      <c r="G31" s="4" t="n"/>
      <c r="H31" s="7">
        <f>IF(A31="","",SUMIFS(Платежи!$C:$C,Платежи!$B:$B,A31))</f>
        <v/>
      </c>
      <c r="I31" s="7">
        <f>IF(A31="","",MAX(0,D31-H31))</f>
        <v/>
      </c>
      <c r="J31" s="10">
        <f>IF(OR(A31="",D31=0),"",H31/D31)</f>
        <v/>
      </c>
    </row>
    <row r="32">
      <c r="D32" s="7" t="n"/>
      <c r="E32" s="17" t="n"/>
      <c r="F32" s="7" t="n"/>
      <c r="G32" s="4" t="n"/>
      <c r="H32" s="7">
        <f>IF(A32="","",SUMIFS(Платежи!$C:$C,Платежи!$B:$B,A32))</f>
        <v/>
      </c>
      <c r="I32" s="7">
        <f>IF(A32="","",MAX(0,D32-H32))</f>
        <v/>
      </c>
      <c r="J32" s="10">
        <f>IF(OR(A32="",D32=0),"",H32/D32)</f>
        <v/>
      </c>
    </row>
    <row r="33">
      <c r="D33" s="7" t="n"/>
      <c r="E33" s="17" t="n"/>
      <c r="F33" s="7" t="n"/>
      <c r="G33" s="4" t="n"/>
      <c r="H33" s="7">
        <f>IF(A33="","",SUMIFS(Платежи!$C:$C,Платежи!$B:$B,A33))</f>
        <v/>
      </c>
      <c r="I33" s="7">
        <f>IF(A33="","",MAX(0,D33-H33))</f>
        <v/>
      </c>
      <c r="J33" s="10">
        <f>IF(OR(A33="",D33=0),"",H33/D33)</f>
        <v/>
      </c>
    </row>
    <row r="34">
      <c r="D34" s="7" t="n"/>
      <c r="E34" s="17" t="n"/>
      <c r="F34" s="7" t="n"/>
      <c r="G34" s="4" t="n"/>
      <c r="H34" s="7">
        <f>IF(A34="","",SUMIFS(Платежи!$C:$C,Платежи!$B:$B,A34))</f>
        <v/>
      </c>
      <c r="I34" s="7">
        <f>IF(A34="","",MAX(0,D34-H34))</f>
        <v/>
      </c>
      <c r="J34" s="10">
        <f>IF(OR(A34="",D34=0),"",H34/D34)</f>
        <v/>
      </c>
    </row>
    <row r="35">
      <c r="D35" s="7" t="n"/>
      <c r="E35" s="17" t="n"/>
      <c r="F35" s="7" t="n"/>
      <c r="G35" s="4" t="n"/>
      <c r="H35" s="7">
        <f>IF(A35="","",SUMIFS(Платежи!$C:$C,Платежи!$B:$B,A35))</f>
        <v/>
      </c>
      <c r="I35" s="7">
        <f>IF(A35="","",MAX(0,D35-H35))</f>
        <v/>
      </c>
      <c r="J35" s="10">
        <f>IF(OR(A35="",D35=0),"",H35/D35)</f>
        <v/>
      </c>
    </row>
    <row r="36">
      <c r="D36" s="7" t="n"/>
      <c r="E36" s="17" t="n"/>
      <c r="F36" s="7" t="n"/>
      <c r="G36" s="4" t="n"/>
      <c r="H36" s="7">
        <f>IF(A36="","",SUMIFS(Платежи!$C:$C,Платежи!$B:$B,A36))</f>
        <v/>
      </c>
      <c r="I36" s="7">
        <f>IF(A36="","",MAX(0,D36-H36))</f>
        <v/>
      </c>
      <c r="J36" s="10">
        <f>IF(OR(A36="",D36=0),"",H36/D36)</f>
        <v/>
      </c>
    </row>
    <row r="37">
      <c r="D37" s="7" t="n"/>
      <c r="E37" s="17" t="n"/>
      <c r="F37" s="7" t="n"/>
      <c r="G37" s="4" t="n"/>
      <c r="H37" s="7">
        <f>IF(A37="","",SUMIFS(Платежи!$C:$C,Платежи!$B:$B,A37))</f>
        <v/>
      </c>
      <c r="I37" s="7">
        <f>IF(A37="","",MAX(0,D37-H37))</f>
        <v/>
      </c>
      <c r="J37" s="10">
        <f>IF(OR(A37="",D37=0),"",H37/D37)</f>
        <v/>
      </c>
    </row>
    <row r="38">
      <c r="D38" s="7" t="n"/>
      <c r="E38" s="17" t="n"/>
      <c r="F38" s="7" t="n"/>
      <c r="G38" s="4" t="n"/>
      <c r="H38" s="7">
        <f>IF(A38="","",SUMIFS(Платежи!$C:$C,Платежи!$B:$B,A38))</f>
        <v/>
      </c>
      <c r="I38" s="7">
        <f>IF(A38="","",MAX(0,D38-H38))</f>
        <v/>
      </c>
      <c r="J38" s="10">
        <f>IF(OR(A38="",D38=0),"",H38/D38)</f>
        <v/>
      </c>
    </row>
    <row r="39">
      <c r="D39" s="7" t="n"/>
      <c r="E39" s="17" t="n"/>
      <c r="F39" s="7" t="n"/>
      <c r="G39" s="4" t="n"/>
      <c r="H39" s="7">
        <f>IF(A39="","",SUMIFS(Платежи!$C:$C,Платежи!$B:$B,A39))</f>
        <v/>
      </c>
      <c r="I39" s="7">
        <f>IF(A39="","",MAX(0,D39-H39))</f>
        <v/>
      </c>
      <c r="J39" s="10">
        <f>IF(OR(A39="",D39=0),"",H39/D39)</f>
        <v/>
      </c>
    </row>
    <row r="40">
      <c r="D40" s="7" t="n"/>
      <c r="E40" s="17" t="n"/>
      <c r="F40" s="7" t="n"/>
      <c r="G40" s="4" t="n"/>
      <c r="H40" s="7">
        <f>IF(A40="","",SUMIFS(Платежи!$C:$C,Платежи!$B:$B,A40))</f>
        <v/>
      </c>
      <c r="I40" s="7">
        <f>IF(A40="","",MAX(0,D40-H40))</f>
        <v/>
      </c>
      <c r="J40" s="10">
        <f>IF(OR(A40="",D40=0),"",H40/D40)</f>
        <v/>
      </c>
    </row>
    <row r="41">
      <c r="D41" s="7" t="n"/>
      <c r="E41" s="17" t="n"/>
      <c r="F41" s="7" t="n"/>
      <c r="G41" s="4" t="n"/>
      <c r="H41" s="7">
        <f>IF(A41="","",SUMIFS(Платежи!$C:$C,Платежи!$B:$B,A41))</f>
        <v/>
      </c>
      <c r="I41" s="7">
        <f>IF(A41="","",MAX(0,D41-H41))</f>
        <v/>
      </c>
      <c r="J41" s="10">
        <f>IF(OR(A41="",D41=0),"",H41/D41)</f>
        <v/>
      </c>
    </row>
    <row r="42">
      <c r="D42" s="7" t="n"/>
      <c r="E42" s="17" t="n"/>
      <c r="F42" s="7" t="n"/>
      <c r="G42" s="4" t="n"/>
      <c r="H42" s="7">
        <f>IF(A42="","",SUMIFS(Платежи!$C:$C,Платежи!$B:$B,A42))</f>
        <v/>
      </c>
      <c r="I42" s="7">
        <f>IF(A42="","",MAX(0,D42-H42))</f>
        <v/>
      </c>
      <c r="J42" s="10">
        <f>IF(OR(A42="",D42=0),"",H42/D42)</f>
        <v/>
      </c>
    </row>
    <row r="43">
      <c r="D43" s="7" t="n"/>
      <c r="E43" s="17" t="n"/>
      <c r="F43" s="7" t="n"/>
      <c r="G43" s="4" t="n"/>
      <c r="H43" s="7">
        <f>IF(A43="","",SUMIFS(Платежи!$C:$C,Платежи!$B:$B,A43))</f>
        <v/>
      </c>
      <c r="I43" s="7">
        <f>IF(A43="","",MAX(0,D43-H43))</f>
        <v/>
      </c>
      <c r="J43" s="10">
        <f>IF(OR(A43="",D43=0),"",H43/D43)</f>
        <v/>
      </c>
    </row>
    <row r="44">
      <c r="D44" s="7" t="n"/>
      <c r="E44" s="17" t="n"/>
      <c r="F44" s="7" t="n"/>
      <c r="G44" s="4" t="n"/>
      <c r="H44" s="7">
        <f>IF(A44="","",SUMIFS(Платежи!$C:$C,Платежи!$B:$B,A44))</f>
        <v/>
      </c>
      <c r="I44" s="7">
        <f>IF(A44="","",MAX(0,D44-H44))</f>
        <v/>
      </c>
      <c r="J44" s="10">
        <f>IF(OR(A44="",D44=0),"",H44/D44)</f>
        <v/>
      </c>
    </row>
    <row r="45">
      <c r="D45" s="7" t="n"/>
      <c r="E45" s="17" t="n"/>
      <c r="F45" s="7" t="n"/>
      <c r="G45" s="4" t="n"/>
      <c r="H45" s="7">
        <f>IF(A45="","",SUMIFS(Платежи!$C:$C,Платежи!$B:$B,A45))</f>
        <v/>
      </c>
      <c r="I45" s="7">
        <f>IF(A45="","",MAX(0,D45-H45))</f>
        <v/>
      </c>
      <c r="J45" s="10">
        <f>IF(OR(A45="",D45=0),"",H45/D45)</f>
        <v/>
      </c>
    </row>
    <row r="46">
      <c r="D46" s="7" t="n"/>
      <c r="E46" s="17" t="n"/>
      <c r="F46" s="7" t="n"/>
      <c r="G46" s="4" t="n"/>
      <c r="H46" s="7">
        <f>IF(A46="","",SUMIFS(Платежи!$C:$C,Платежи!$B:$B,A46))</f>
        <v/>
      </c>
      <c r="I46" s="7">
        <f>IF(A46="","",MAX(0,D46-H46))</f>
        <v/>
      </c>
      <c r="J46" s="10">
        <f>IF(OR(A46="",D46=0),"",H46/D46)</f>
        <v/>
      </c>
    </row>
    <row r="47">
      <c r="D47" s="7" t="n"/>
      <c r="E47" s="17" t="n"/>
      <c r="F47" s="7" t="n"/>
      <c r="G47" s="4" t="n"/>
      <c r="H47" s="7">
        <f>IF(A47="","",SUMIFS(Платежи!$C:$C,Платежи!$B:$B,A47))</f>
        <v/>
      </c>
      <c r="I47" s="7">
        <f>IF(A47="","",MAX(0,D47-H47))</f>
        <v/>
      </c>
      <c r="J47" s="10">
        <f>IF(OR(A47="",D47=0),"",H47/D47)</f>
        <v/>
      </c>
    </row>
    <row r="48">
      <c r="D48" s="7" t="n"/>
      <c r="E48" s="17" t="n"/>
      <c r="F48" s="7" t="n"/>
      <c r="G48" s="4" t="n"/>
      <c r="H48" s="7">
        <f>IF(A48="","",SUMIFS(Платежи!$C:$C,Платежи!$B:$B,A48))</f>
        <v/>
      </c>
      <c r="I48" s="7">
        <f>IF(A48="","",MAX(0,D48-H48))</f>
        <v/>
      </c>
      <c r="J48" s="10">
        <f>IF(OR(A48="",D48=0),"",H48/D48)</f>
        <v/>
      </c>
    </row>
    <row r="49">
      <c r="D49" s="7" t="n"/>
      <c r="E49" s="17" t="n"/>
      <c r="F49" s="7" t="n"/>
      <c r="G49" s="4" t="n"/>
      <c r="H49" s="7">
        <f>IF(A49="","",SUMIFS(Платежи!$C:$C,Платежи!$B:$B,A49))</f>
        <v/>
      </c>
      <c r="I49" s="7">
        <f>IF(A49="","",MAX(0,D49-H49))</f>
        <v/>
      </c>
      <c r="J49" s="10">
        <f>IF(OR(A49="",D49=0),"",H49/D49)</f>
        <v/>
      </c>
    </row>
    <row r="50">
      <c r="D50" s="7" t="n"/>
      <c r="E50" s="17" t="n"/>
      <c r="F50" s="7" t="n"/>
      <c r="G50" s="4" t="n"/>
      <c r="H50" s="7">
        <f>IF(A50="","",SUMIFS(Платежи!$C:$C,Платежи!$B:$B,A50))</f>
        <v/>
      </c>
      <c r="I50" s="7">
        <f>IF(A50="","",MAX(0,D50-H50))</f>
        <v/>
      </c>
      <c r="J50" s="10">
        <f>IF(OR(A50="",D50=0),"",H50/D50)</f>
        <v/>
      </c>
    </row>
    <row r="51">
      <c r="D51" s="7" t="n"/>
      <c r="E51" s="17" t="n"/>
      <c r="F51" s="7" t="n"/>
      <c r="G51" s="4" t="n"/>
      <c r="H51" s="7">
        <f>IF(A51="","",SUMIFS(Платежи!$C:$C,Платежи!$B:$B,A51))</f>
        <v/>
      </c>
      <c r="I51" s="7">
        <f>IF(A51="","",MAX(0,D51-H51))</f>
        <v/>
      </c>
      <c r="J51" s="10">
        <f>IF(OR(A51="",D51=0),"",H51/D51)</f>
        <v/>
      </c>
    </row>
    <row r="52">
      <c r="D52" s="7" t="n"/>
      <c r="E52" s="17" t="n"/>
      <c r="F52" s="7" t="n"/>
      <c r="G52" s="4" t="n"/>
      <c r="H52" s="7">
        <f>IF(A52="","",SUMIFS(Платежи!$C:$C,Платежи!$B:$B,A52))</f>
        <v/>
      </c>
      <c r="I52" s="7">
        <f>IF(A52="","",MAX(0,D52-H52))</f>
        <v/>
      </c>
      <c r="J52" s="10">
        <f>IF(OR(A52="",D52=0),"",H52/D52)</f>
        <v/>
      </c>
    </row>
    <row r="53">
      <c r="D53" s="7" t="n"/>
      <c r="E53" s="17" t="n"/>
      <c r="F53" s="7" t="n"/>
      <c r="G53" s="4" t="n"/>
      <c r="H53" s="7">
        <f>IF(A53="","",SUMIFS(Платежи!$C:$C,Платежи!$B:$B,A53))</f>
        <v/>
      </c>
      <c r="I53" s="7">
        <f>IF(A53="","",MAX(0,D53-H53))</f>
        <v/>
      </c>
      <c r="J53" s="10">
        <f>IF(OR(A53="",D53=0),"",H53/D53)</f>
        <v/>
      </c>
    </row>
    <row r="54">
      <c r="D54" s="7" t="n"/>
      <c r="E54" s="17" t="n"/>
      <c r="F54" s="7" t="n"/>
      <c r="G54" s="4" t="n"/>
      <c r="H54" s="7">
        <f>IF(A54="","",SUMIFS(Платежи!$C:$C,Платежи!$B:$B,A54))</f>
        <v/>
      </c>
      <c r="I54" s="7">
        <f>IF(A54="","",MAX(0,D54-H54))</f>
        <v/>
      </c>
      <c r="J54" s="10">
        <f>IF(OR(A54="",D54=0),"",H54/D54)</f>
        <v/>
      </c>
    </row>
    <row r="55">
      <c r="D55" s="7" t="n"/>
      <c r="E55" s="17" t="n"/>
      <c r="F55" s="7" t="n"/>
      <c r="G55" s="4" t="n"/>
      <c r="H55" s="7">
        <f>IF(A55="","",SUMIFS(Платежи!$C:$C,Платежи!$B:$B,A55))</f>
        <v/>
      </c>
      <c r="I55" s="7">
        <f>IF(A55="","",MAX(0,D55-H55))</f>
        <v/>
      </c>
      <c r="J55" s="10">
        <f>IF(OR(A55="",D55=0),"",H55/D55)</f>
        <v/>
      </c>
    </row>
    <row r="56">
      <c r="D56" s="7" t="n"/>
      <c r="E56" s="17" t="n"/>
      <c r="F56" s="7" t="n"/>
      <c r="G56" s="4" t="n"/>
      <c r="H56" s="7">
        <f>IF(A56="","",SUMIFS(Платежи!$C:$C,Платежи!$B:$B,A56))</f>
        <v/>
      </c>
      <c r="I56" s="7">
        <f>IF(A56="","",MAX(0,D56-H56))</f>
        <v/>
      </c>
      <c r="J56" s="10">
        <f>IF(OR(A56="",D56=0),"",H56/D56)</f>
        <v/>
      </c>
    </row>
    <row r="57">
      <c r="D57" s="7" t="n"/>
      <c r="E57" s="17" t="n"/>
      <c r="F57" s="7" t="n"/>
      <c r="G57" s="4" t="n"/>
      <c r="H57" s="7">
        <f>IF(A57="","",SUMIFS(Платежи!$C:$C,Платежи!$B:$B,A57))</f>
        <v/>
      </c>
      <c r="I57" s="7">
        <f>IF(A57="","",MAX(0,D57-H57))</f>
        <v/>
      </c>
      <c r="J57" s="10">
        <f>IF(OR(A57="",D57=0),"",H57/D57)</f>
        <v/>
      </c>
    </row>
    <row r="58">
      <c r="D58" s="7" t="n"/>
      <c r="E58" s="17" t="n"/>
      <c r="F58" s="7" t="n"/>
      <c r="G58" s="4" t="n"/>
      <c r="H58" s="7">
        <f>IF(A58="","",SUMIFS(Платежи!$C:$C,Платежи!$B:$B,A58))</f>
        <v/>
      </c>
      <c r="I58" s="7">
        <f>IF(A58="","",MAX(0,D58-H58))</f>
        <v/>
      </c>
      <c r="J58" s="10">
        <f>IF(OR(A58="",D58=0),"",H58/D58)</f>
        <v/>
      </c>
    </row>
    <row r="59">
      <c r="D59" s="7" t="n"/>
      <c r="E59" s="17" t="n"/>
      <c r="F59" s="7" t="n"/>
      <c r="G59" s="4" t="n"/>
      <c r="H59" s="7">
        <f>IF(A59="","",SUMIFS(Платежи!$C:$C,Платежи!$B:$B,A59))</f>
        <v/>
      </c>
      <c r="I59" s="7">
        <f>IF(A59="","",MAX(0,D59-H59))</f>
        <v/>
      </c>
      <c r="J59" s="10">
        <f>IF(OR(A59="",D59=0),"",H59/D59)</f>
        <v/>
      </c>
    </row>
    <row r="60">
      <c r="D60" s="7" t="n"/>
      <c r="E60" s="17" t="n"/>
      <c r="F60" s="7" t="n"/>
      <c r="G60" s="4" t="n"/>
      <c r="H60" s="7">
        <f>IF(A60="","",SUMIFS(Платежи!$C:$C,Платежи!$B:$B,A60))</f>
        <v/>
      </c>
      <c r="I60" s="7">
        <f>IF(A60="","",MAX(0,D60-H60))</f>
        <v/>
      </c>
      <c r="J60" s="10">
        <f>IF(OR(A60="",D60=0),"",H60/D60)</f>
        <v/>
      </c>
    </row>
    <row r="61">
      <c r="D61" s="7" t="n"/>
      <c r="E61" s="17" t="n"/>
      <c r="F61" s="7" t="n"/>
      <c r="G61" s="4" t="n"/>
      <c r="H61" s="7">
        <f>IF(A61="","",SUMIFS(Платежи!$C:$C,Платежи!$B:$B,A61))</f>
        <v/>
      </c>
      <c r="I61" s="7">
        <f>IF(A61="","",MAX(0,D61-H61))</f>
        <v/>
      </c>
      <c r="J61" s="10">
        <f>IF(OR(A61="",D61=0),"",H61/D61)</f>
        <v/>
      </c>
    </row>
    <row r="62">
      <c r="D62" s="7" t="n"/>
      <c r="E62" s="17" t="n"/>
      <c r="F62" s="7" t="n"/>
      <c r="G62" s="4" t="n"/>
      <c r="H62" s="7">
        <f>IF(A62="","",SUMIFS(Платежи!$C:$C,Платежи!$B:$B,A62))</f>
        <v/>
      </c>
      <c r="I62" s="7">
        <f>IF(A62="","",MAX(0,D62-H62))</f>
        <v/>
      </c>
      <c r="J62" s="10">
        <f>IF(OR(A62="",D62=0),"",H62/D62)</f>
        <v/>
      </c>
    </row>
    <row r="63">
      <c r="D63" s="7" t="n"/>
      <c r="E63" s="17" t="n"/>
      <c r="F63" s="7" t="n"/>
      <c r="G63" s="4" t="n"/>
      <c r="H63" s="7">
        <f>IF(A63="","",SUMIFS(Платежи!$C:$C,Платежи!$B:$B,A63))</f>
        <v/>
      </c>
      <c r="I63" s="7">
        <f>IF(A63="","",MAX(0,D63-H63))</f>
        <v/>
      </c>
      <c r="J63" s="10">
        <f>IF(OR(A63="",D63=0),"",H63/D63)</f>
        <v/>
      </c>
    </row>
    <row r="64">
      <c r="D64" s="7" t="n"/>
      <c r="E64" s="17" t="n"/>
      <c r="F64" s="7" t="n"/>
      <c r="G64" s="4" t="n"/>
      <c r="H64" s="7">
        <f>IF(A64="","",SUMIFS(Платежи!$C:$C,Платежи!$B:$B,A64))</f>
        <v/>
      </c>
      <c r="I64" s="7">
        <f>IF(A64="","",MAX(0,D64-H64))</f>
        <v/>
      </c>
      <c r="J64" s="10">
        <f>IF(OR(A64="",D64=0),"",H64/D64)</f>
        <v/>
      </c>
    </row>
    <row r="65">
      <c r="D65" s="7" t="n"/>
      <c r="E65" s="17" t="n"/>
      <c r="F65" s="7" t="n"/>
      <c r="G65" s="4" t="n"/>
      <c r="H65" s="7">
        <f>IF(A65="","",SUMIFS(Платежи!$C:$C,Платежи!$B:$B,A65))</f>
        <v/>
      </c>
      <c r="I65" s="7">
        <f>IF(A65="","",MAX(0,D65-H65))</f>
        <v/>
      </c>
      <c r="J65" s="10">
        <f>IF(OR(A65="",D65=0),"",H65/D65)</f>
        <v/>
      </c>
    </row>
    <row r="66">
      <c r="D66" s="7" t="n"/>
      <c r="E66" s="17" t="n"/>
      <c r="F66" s="7" t="n"/>
      <c r="G66" s="4" t="n"/>
      <c r="H66" s="7">
        <f>IF(A66="","",SUMIFS(Платежи!$C:$C,Платежи!$B:$B,A66))</f>
        <v/>
      </c>
      <c r="I66" s="7">
        <f>IF(A66="","",MAX(0,D66-H66))</f>
        <v/>
      </c>
      <c r="J66" s="10">
        <f>IF(OR(A66="",D66=0),"",H66/D66)</f>
        <v/>
      </c>
    </row>
    <row r="67">
      <c r="D67" s="7" t="n"/>
      <c r="E67" s="17" t="n"/>
      <c r="F67" s="7" t="n"/>
      <c r="G67" s="4" t="n"/>
      <c r="H67" s="7">
        <f>IF(A67="","",SUMIFS(Платежи!$C:$C,Платежи!$B:$B,A67))</f>
        <v/>
      </c>
      <c r="I67" s="7">
        <f>IF(A67="","",MAX(0,D67-H67))</f>
        <v/>
      </c>
      <c r="J67" s="10">
        <f>IF(OR(A67="",D67=0),"",H67/D67)</f>
        <v/>
      </c>
    </row>
    <row r="68">
      <c r="D68" s="7" t="n"/>
      <c r="E68" s="17" t="n"/>
      <c r="F68" s="7" t="n"/>
      <c r="G68" s="4" t="n"/>
      <c r="H68" s="7">
        <f>IF(A68="","",SUMIFS(Платежи!$C:$C,Платежи!$B:$B,A68))</f>
        <v/>
      </c>
      <c r="I68" s="7">
        <f>IF(A68="","",MAX(0,D68-H68))</f>
        <v/>
      </c>
      <c r="J68" s="10">
        <f>IF(OR(A68="",D68=0),"",H68/D68)</f>
        <v/>
      </c>
    </row>
    <row r="69">
      <c r="D69" s="7" t="n"/>
      <c r="E69" s="17" t="n"/>
      <c r="F69" s="7" t="n"/>
      <c r="G69" s="4" t="n"/>
      <c r="H69" s="7">
        <f>IF(A69="","",SUMIFS(Платежи!$C:$C,Платежи!$B:$B,A69))</f>
        <v/>
      </c>
      <c r="I69" s="7">
        <f>IF(A69="","",MAX(0,D69-H69))</f>
        <v/>
      </c>
      <c r="J69" s="10">
        <f>IF(OR(A69="",D69=0),"",H69/D69)</f>
        <v/>
      </c>
    </row>
    <row r="70">
      <c r="D70" s="7" t="n"/>
      <c r="E70" s="17" t="n"/>
      <c r="F70" s="7" t="n"/>
      <c r="G70" s="4" t="n"/>
      <c r="H70" s="7">
        <f>IF(A70="","",SUMIFS(Платежи!$C:$C,Платежи!$B:$B,A70))</f>
        <v/>
      </c>
      <c r="I70" s="7">
        <f>IF(A70="","",MAX(0,D70-H70))</f>
        <v/>
      </c>
      <c r="J70" s="10">
        <f>IF(OR(A70="",D70=0),"",H70/D70)</f>
        <v/>
      </c>
    </row>
    <row r="71">
      <c r="D71" s="7" t="n"/>
      <c r="E71" s="17" t="n"/>
      <c r="F71" s="7" t="n"/>
      <c r="G71" s="4" t="n"/>
      <c r="H71" s="7">
        <f>IF(A71="","",SUMIFS(Платежи!$C:$C,Платежи!$B:$B,A71))</f>
        <v/>
      </c>
      <c r="I71" s="7">
        <f>IF(A71="","",MAX(0,D71-H71))</f>
        <v/>
      </c>
      <c r="J71" s="10">
        <f>IF(OR(A71="",D71=0),"",H71/D71)</f>
        <v/>
      </c>
    </row>
    <row r="72">
      <c r="D72" s="7" t="n"/>
      <c r="E72" s="17" t="n"/>
      <c r="F72" s="7" t="n"/>
      <c r="G72" s="4" t="n"/>
      <c r="H72" s="7">
        <f>IF(A72="","",SUMIFS(Платежи!$C:$C,Платежи!$B:$B,A72))</f>
        <v/>
      </c>
      <c r="I72" s="7">
        <f>IF(A72="","",MAX(0,D72-H72))</f>
        <v/>
      </c>
      <c r="J72" s="10">
        <f>IF(OR(A72="",D72=0),"",H72/D72)</f>
        <v/>
      </c>
    </row>
    <row r="73">
      <c r="D73" s="7" t="n"/>
      <c r="E73" s="17" t="n"/>
      <c r="F73" s="7" t="n"/>
      <c r="G73" s="4" t="n"/>
      <c r="H73" s="7">
        <f>IF(A73="","",SUMIFS(Платежи!$C:$C,Платежи!$B:$B,A73))</f>
        <v/>
      </c>
      <c r="I73" s="7">
        <f>IF(A73="","",MAX(0,D73-H73))</f>
        <v/>
      </c>
      <c r="J73" s="10">
        <f>IF(OR(A73="",D73=0),"",H73/D73)</f>
        <v/>
      </c>
    </row>
    <row r="74">
      <c r="D74" s="7" t="n"/>
      <c r="E74" s="17" t="n"/>
      <c r="F74" s="7" t="n"/>
      <c r="G74" s="4" t="n"/>
      <c r="H74" s="7">
        <f>IF(A74="","",SUMIFS(Платежи!$C:$C,Платежи!$B:$B,A74))</f>
        <v/>
      </c>
      <c r="I74" s="7">
        <f>IF(A74="","",MAX(0,D74-H74))</f>
        <v/>
      </c>
      <c r="J74" s="10">
        <f>IF(OR(A74="",D74=0),"",H74/D74)</f>
        <v/>
      </c>
    </row>
    <row r="75">
      <c r="D75" s="7" t="n"/>
      <c r="E75" s="17" t="n"/>
      <c r="F75" s="7" t="n"/>
      <c r="G75" s="4" t="n"/>
      <c r="H75" s="7">
        <f>IF(A75="","",SUMIFS(Платежи!$C:$C,Платежи!$B:$B,A75))</f>
        <v/>
      </c>
      <c r="I75" s="7">
        <f>IF(A75="","",MAX(0,D75-H75))</f>
        <v/>
      </c>
      <c r="J75" s="10">
        <f>IF(OR(A75="",D75=0),"",H75/D75)</f>
        <v/>
      </c>
    </row>
    <row r="76">
      <c r="D76" s="7" t="n"/>
      <c r="E76" s="17" t="n"/>
      <c r="F76" s="7" t="n"/>
      <c r="G76" s="4" t="n"/>
      <c r="H76" s="7">
        <f>IF(A76="","",SUMIFS(Платежи!$C:$C,Платежи!$B:$B,A76))</f>
        <v/>
      </c>
      <c r="I76" s="7">
        <f>IF(A76="","",MAX(0,D76-H76))</f>
        <v/>
      </c>
      <c r="J76" s="10">
        <f>IF(OR(A76="",D76=0),"",H76/D76)</f>
        <v/>
      </c>
    </row>
    <row r="77">
      <c r="D77" s="7" t="n"/>
      <c r="E77" s="17" t="n"/>
      <c r="F77" s="7" t="n"/>
      <c r="G77" s="4" t="n"/>
      <c r="H77" s="7">
        <f>IF(A77="","",SUMIFS(Платежи!$C:$C,Платежи!$B:$B,A77))</f>
        <v/>
      </c>
      <c r="I77" s="7">
        <f>IF(A77="","",MAX(0,D77-H77))</f>
        <v/>
      </c>
      <c r="J77" s="10">
        <f>IF(OR(A77="",D77=0),"",H77/D77)</f>
        <v/>
      </c>
    </row>
    <row r="78">
      <c r="D78" s="7" t="n"/>
      <c r="E78" s="17" t="n"/>
      <c r="F78" s="7" t="n"/>
      <c r="G78" s="4" t="n"/>
      <c r="H78" s="7">
        <f>IF(A78="","",SUMIFS(Платежи!$C:$C,Платежи!$B:$B,A78))</f>
        <v/>
      </c>
      <c r="I78" s="7">
        <f>IF(A78="","",MAX(0,D78-H78))</f>
        <v/>
      </c>
      <c r="J78" s="10">
        <f>IF(OR(A78="",D78=0),"",H78/D78)</f>
        <v/>
      </c>
    </row>
    <row r="79">
      <c r="D79" s="7" t="n"/>
      <c r="E79" s="17" t="n"/>
      <c r="F79" s="7" t="n"/>
      <c r="G79" s="4" t="n"/>
      <c r="H79" s="7">
        <f>IF(A79="","",SUMIFS(Платежи!$C:$C,Платежи!$B:$B,A79))</f>
        <v/>
      </c>
      <c r="I79" s="7">
        <f>IF(A79="","",MAX(0,D79-H79))</f>
        <v/>
      </c>
      <c r="J79" s="10">
        <f>IF(OR(A79="",D79=0),"",H79/D79)</f>
        <v/>
      </c>
    </row>
    <row r="80">
      <c r="D80" s="7" t="n"/>
      <c r="E80" s="17" t="n"/>
      <c r="F80" s="7" t="n"/>
      <c r="G80" s="4" t="n"/>
      <c r="H80" s="7">
        <f>IF(A80="","",SUMIFS(Платежи!$C:$C,Платежи!$B:$B,A80))</f>
        <v/>
      </c>
      <c r="I80" s="7">
        <f>IF(A80="","",MAX(0,D80-H80))</f>
        <v/>
      </c>
      <c r="J80" s="10">
        <f>IF(OR(A80="",D80=0),"",H80/D80)</f>
        <v/>
      </c>
    </row>
    <row r="81">
      <c r="D81" s="7" t="n"/>
      <c r="E81" s="17" t="n"/>
      <c r="F81" s="7" t="n"/>
      <c r="G81" s="4" t="n"/>
      <c r="H81" s="7">
        <f>IF(A81="","",SUMIFS(Платежи!$C:$C,Платежи!$B:$B,A81))</f>
        <v/>
      </c>
      <c r="I81" s="7">
        <f>IF(A81="","",MAX(0,D81-H81))</f>
        <v/>
      </c>
      <c r="J81" s="10">
        <f>IF(OR(A81="",D81=0),"",H81/D81)</f>
        <v/>
      </c>
    </row>
    <row r="82">
      <c r="D82" s="7" t="n"/>
      <c r="E82" s="17" t="n"/>
      <c r="F82" s="7" t="n"/>
      <c r="G82" s="4" t="n"/>
      <c r="H82" s="7">
        <f>IF(A82="","",SUMIFS(Платежи!$C:$C,Платежи!$B:$B,A82))</f>
        <v/>
      </c>
      <c r="I82" s="7">
        <f>IF(A82="","",MAX(0,D82-H82))</f>
        <v/>
      </c>
      <c r="J82" s="10">
        <f>IF(OR(A82="",D82=0),"",H82/D82)</f>
        <v/>
      </c>
    </row>
    <row r="83">
      <c r="D83" s="7" t="n"/>
      <c r="E83" s="17" t="n"/>
      <c r="F83" s="7" t="n"/>
      <c r="G83" s="4" t="n"/>
      <c r="H83" s="7">
        <f>IF(A83="","",SUMIFS(Платежи!$C:$C,Платежи!$B:$B,A83))</f>
        <v/>
      </c>
      <c r="I83" s="7">
        <f>IF(A83="","",MAX(0,D83-H83))</f>
        <v/>
      </c>
      <c r="J83" s="10">
        <f>IF(OR(A83="",D83=0),"",H83/D83)</f>
        <v/>
      </c>
    </row>
    <row r="84">
      <c r="D84" s="7" t="n"/>
      <c r="E84" s="17" t="n"/>
      <c r="F84" s="7" t="n"/>
      <c r="G84" s="4" t="n"/>
      <c r="H84" s="7">
        <f>IF(A84="","",SUMIFS(Платежи!$C:$C,Платежи!$B:$B,A84))</f>
        <v/>
      </c>
      <c r="I84" s="7">
        <f>IF(A84="","",MAX(0,D84-H84))</f>
        <v/>
      </c>
      <c r="J84" s="10">
        <f>IF(OR(A84="",D84=0),"",H84/D84)</f>
        <v/>
      </c>
    </row>
    <row r="85">
      <c r="D85" s="7" t="n"/>
      <c r="E85" s="17" t="n"/>
      <c r="F85" s="7" t="n"/>
      <c r="G85" s="4" t="n"/>
      <c r="H85" s="7">
        <f>IF(A85="","",SUMIFS(Платежи!$C:$C,Платежи!$B:$B,A85))</f>
        <v/>
      </c>
      <c r="I85" s="7">
        <f>IF(A85="","",MAX(0,D85-H85))</f>
        <v/>
      </c>
      <c r="J85" s="10">
        <f>IF(OR(A85="",D85=0),"",H85/D85)</f>
        <v/>
      </c>
    </row>
    <row r="86">
      <c r="D86" s="7" t="n"/>
      <c r="E86" s="17" t="n"/>
      <c r="F86" s="7" t="n"/>
      <c r="G86" s="4" t="n"/>
      <c r="H86" s="7">
        <f>IF(A86="","",SUMIFS(Платежи!$C:$C,Платежи!$B:$B,A86))</f>
        <v/>
      </c>
      <c r="I86" s="7">
        <f>IF(A86="","",MAX(0,D86-H86))</f>
        <v/>
      </c>
      <c r="J86" s="10">
        <f>IF(OR(A86="",D86=0),"",H86/D86)</f>
        <v/>
      </c>
    </row>
    <row r="87">
      <c r="D87" s="7" t="n"/>
      <c r="E87" s="17" t="n"/>
      <c r="F87" s="7" t="n"/>
      <c r="G87" s="4" t="n"/>
      <c r="H87" s="7">
        <f>IF(A87="","",SUMIFS(Платежи!$C:$C,Платежи!$B:$B,A87))</f>
        <v/>
      </c>
      <c r="I87" s="7">
        <f>IF(A87="","",MAX(0,D87-H87))</f>
        <v/>
      </c>
      <c r="J87" s="10">
        <f>IF(OR(A87="",D87=0),"",H87/D87)</f>
        <v/>
      </c>
    </row>
    <row r="88">
      <c r="D88" s="7" t="n"/>
      <c r="E88" s="17" t="n"/>
      <c r="F88" s="7" t="n"/>
      <c r="G88" s="4" t="n"/>
      <c r="H88" s="7">
        <f>IF(A88="","",SUMIFS(Платежи!$C:$C,Платежи!$B:$B,A88))</f>
        <v/>
      </c>
      <c r="I88" s="7">
        <f>IF(A88="","",MAX(0,D88-H88))</f>
        <v/>
      </c>
      <c r="J88" s="10">
        <f>IF(OR(A88="",D88=0),"",H88/D88)</f>
        <v/>
      </c>
    </row>
    <row r="89">
      <c r="D89" s="7" t="n"/>
      <c r="E89" s="17" t="n"/>
      <c r="F89" s="7" t="n"/>
      <c r="G89" s="4" t="n"/>
      <c r="H89" s="7">
        <f>IF(A89="","",SUMIFS(Платежи!$C:$C,Платежи!$B:$B,A89))</f>
        <v/>
      </c>
      <c r="I89" s="7">
        <f>IF(A89="","",MAX(0,D89-H89))</f>
        <v/>
      </c>
      <c r="J89" s="10">
        <f>IF(OR(A89="",D89=0),"",H89/D89)</f>
        <v/>
      </c>
    </row>
    <row r="90">
      <c r="D90" s="7" t="n"/>
      <c r="E90" s="17" t="n"/>
      <c r="F90" s="7" t="n"/>
      <c r="G90" s="4" t="n"/>
      <c r="H90" s="7">
        <f>IF(A90="","",SUMIFS(Платежи!$C:$C,Платежи!$B:$B,A90))</f>
        <v/>
      </c>
      <c r="I90" s="7">
        <f>IF(A90="","",MAX(0,D90-H90))</f>
        <v/>
      </c>
      <c r="J90" s="10">
        <f>IF(OR(A90="",D90=0),"",H90/D90)</f>
        <v/>
      </c>
    </row>
    <row r="91">
      <c r="D91" s="7" t="n"/>
      <c r="E91" s="17" t="n"/>
      <c r="F91" s="7" t="n"/>
      <c r="G91" s="4" t="n"/>
      <c r="H91" s="7">
        <f>IF(A91="","",SUMIFS(Платежи!$C:$C,Платежи!$B:$B,A91))</f>
        <v/>
      </c>
      <c r="I91" s="7">
        <f>IF(A91="","",MAX(0,D91-H91))</f>
        <v/>
      </c>
      <c r="J91" s="10">
        <f>IF(OR(A91="",D91=0),"",H91/D91)</f>
        <v/>
      </c>
    </row>
    <row r="92">
      <c r="D92" s="7" t="n"/>
      <c r="E92" s="17" t="n"/>
      <c r="F92" s="7" t="n"/>
      <c r="G92" s="4" t="n"/>
      <c r="H92" s="7">
        <f>IF(A92="","",SUMIFS(Платежи!$C:$C,Платежи!$B:$B,A92))</f>
        <v/>
      </c>
      <c r="I92" s="7">
        <f>IF(A92="","",MAX(0,D92-H92))</f>
        <v/>
      </c>
      <c r="J92" s="10">
        <f>IF(OR(A92="",D92=0),"",H92/D92)</f>
        <v/>
      </c>
    </row>
    <row r="93">
      <c r="D93" s="7" t="n"/>
      <c r="E93" s="17" t="n"/>
      <c r="F93" s="7" t="n"/>
      <c r="G93" s="4" t="n"/>
      <c r="H93" s="7">
        <f>IF(A93="","",SUMIFS(Платежи!$C:$C,Платежи!$B:$B,A93))</f>
        <v/>
      </c>
      <c r="I93" s="7">
        <f>IF(A93="","",MAX(0,D93-H93))</f>
        <v/>
      </c>
      <c r="J93" s="10">
        <f>IF(OR(A93="",D93=0),"",H93/D93)</f>
        <v/>
      </c>
    </row>
    <row r="94">
      <c r="D94" s="7" t="n"/>
      <c r="E94" s="17" t="n"/>
      <c r="F94" s="7" t="n"/>
      <c r="G94" s="4" t="n"/>
      <c r="H94" s="7">
        <f>IF(A94="","",SUMIFS(Платежи!$C:$C,Платежи!$B:$B,A94))</f>
        <v/>
      </c>
      <c r="I94" s="7">
        <f>IF(A94="","",MAX(0,D94-H94))</f>
        <v/>
      </c>
      <c r="J94" s="10">
        <f>IF(OR(A94="",D94=0),"",H94/D94)</f>
        <v/>
      </c>
    </row>
    <row r="95">
      <c r="D95" s="7" t="n"/>
      <c r="E95" s="17" t="n"/>
      <c r="F95" s="7" t="n"/>
      <c r="G95" s="4" t="n"/>
      <c r="H95" s="7">
        <f>IF(A95="","",SUMIFS(Платежи!$C:$C,Платежи!$B:$B,A95))</f>
        <v/>
      </c>
      <c r="I95" s="7">
        <f>IF(A95="","",MAX(0,D95-H95))</f>
        <v/>
      </c>
      <c r="J95" s="10">
        <f>IF(OR(A95="",D95=0),"",H95/D95)</f>
        <v/>
      </c>
    </row>
    <row r="96">
      <c r="D96" s="7" t="n"/>
      <c r="E96" s="17" t="n"/>
      <c r="F96" s="7" t="n"/>
      <c r="G96" s="4" t="n"/>
      <c r="H96" s="7">
        <f>IF(A96="","",SUMIFS(Платежи!$C:$C,Платежи!$B:$B,A96))</f>
        <v/>
      </c>
      <c r="I96" s="7">
        <f>IF(A96="","",MAX(0,D96-H96))</f>
        <v/>
      </c>
      <c r="J96" s="10">
        <f>IF(OR(A96="",D96=0),"",H96/D96)</f>
        <v/>
      </c>
    </row>
    <row r="97">
      <c r="D97" s="7" t="n"/>
      <c r="E97" s="17" t="n"/>
      <c r="F97" s="7" t="n"/>
      <c r="G97" s="4" t="n"/>
      <c r="H97" s="7">
        <f>IF(A97="","",SUMIFS(Платежи!$C:$C,Платежи!$B:$B,A97))</f>
        <v/>
      </c>
      <c r="I97" s="7">
        <f>IF(A97="","",MAX(0,D97-H97))</f>
        <v/>
      </c>
      <c r="J97" s="10">
        <f>IF(OR(A97="",D97=0),"",H97/D97)</f>
        <v/>
      </c>
    </row>
    <row r="98">
      <c r="D98" s="7" t="n"/>
      <c r="E98" s="17" t="n"/>
      <c r="F98" s="7" t="n"/>
      <c r="G98" s="4" t="n"/>
      <c r="H98" s="7">
        <f>IF(A98="","",SUMIFS(Платежи!$C:$C,Платежи!$B:$B,A98))</f>
        <v/>
      </c>
      <c r="I98" s="7">
        <f>IF(A98="","",MAX(0,D98-H98))</f>
        <v/>
      </c>
      <c r="J98" s="10">
        <f>IF(OR(A98="",D98=0),"",H98/D98)</f>
        <v/>
      </c>
    </row>
    <row r="99">
      <c r="D99" s="7" t="n"/>
      <c r="E99" s="17" t="n"/>
      <c r="F99" s="7" t="n"/>
      <c r="G99" s="4" t="n"/>
      <c r="H99" s="7">
        <f>IF(A99="","",SUMIFS(Платежи!$C:$C,Платежи!$B:$B,A99))</f>
        <v/>
      </c>
      <c r="I99" s="7">
        <f>IF(A99="","",MAX(0,D99-H99))</f>
        <v/>
      </c>
      <c r="J99" s="10">
        <f>IF(OR(A99="",D99=0),"",H99/D99)</f>
        <v/>
      </c>
    </row>
    <row r="100">
      <c r="D100" s="7" t="n"/>
      <c r="E100" s="17" t="n"/>
      <c r="F100" s="7" t="n"/>
      <c r="G100" s="4" t="n"/>
      <c r="H100" s="7">
        <f>IF(A100="","",SUMIFS(Платежи!$C:$C,Платежи!$B:$B,A100))</f>
        <v/>
      </c>
      <c r="I100" s="7">
        <f>IF(A100="","",MAX(0,D100-H100))</f>
        <v/>
      </c>
      <c r="J100" s="10">
        <f>IF(OR(A100="",D100=0),"",H100/D100)</f>
        <v/>
      </c>
    </row>
    <row r="101">
      <c r="D101" s="7" t="n"/>
      <c r="E101" s="17" t="n"/>
      <c r="F101" s="7" t="n"/>
      <c r="G101" s="4" t="n"/>
      <c r="H101" s="7">
        <f>IF(A101="","",SUMIFS(Платежи!$C:$C,Платежи!$B:$B,A101))</f>
        <v/>
      </c>
      <c r="I101" s="7">
        <f>IF(A101="","",MAX(0,D101-H101))</f>
        <v/>
      </c>
      <c r="J101" s="10">
        <f>IF(OR(A101="",D101=0),"",H101/D101)</f>
        <v/>
      </c>
    </row>
    <row r="102">
      <c r="D102" s="7" t="n"/>
      <c r="E102" s="17" t="n"/>
      <c r="F102" s="7" t="n"/>
      <c r="G102" s="4" t="n"/>
      <c r="H102" s="7">
        <f>IF(A102="","",SUMIFS(Платежи!$C:$C,Платежи!$B:$B,A102))</f>
        <v/>
      </c>
      <c r="I102" s="7">
        <f>IF(A102="","",MAX(0,D102-H102))</f>
        <v/>
      </c>
      <c r="J102" s="10">
        <f>IF(OR(A102="",D102=0),"",H102/D102)</f>
        <v/>
      </c>
    </row>
    <row r="103">
      <c r="D103" s="7" t="n"/>
      <c r="E103" s="17" t="n"/>
      <c r="F103" s="7" t="n"/>
      <c r="G103" s="4" t="n"/>
      <c r="H103" s="7">
        <f>IF(A103="","",SUMIFS(Платежи!$C:$C,Платежи!$B:$B,A103))</f>
        <v/>
      </c>
      <c r="I103" s="7">
        <f>IF(A103="","",MAX(0,D103-H103))</f>
        <v/>
      </c>
      <c r="J103" s="10">
        <f>IF(OR(A103="",D103=0),"",H103/D103)</f>
        <v/>
      </c>
    </row>
    <row r="104">
      <c r="D104" s="7" t="n"/>
      <c r="E104" s="17" t="n"/>
      <c r="F104" s="7" t="n"/>
      <c r="G104" s="4" t="n"/>
      <c r="H104" s="7">
        <f>IF(A104="","",SUMIFS(Платежи!$C:$C,Платежи!$B:$B,A104))</f>
        <v/>
      </c>
      <c r="I104" s="7">
        <f>IF(A104="","",MAX(0,D104-H104))</f>
        <v/>
      </c>
      <c r="J104" s="10">
        <f>IF(OR(A104="",D104=0),"",H104/D104)</f>
        <v/>
      </c>
    </row>
    <row r="105">
      <c r="D105" s="7" t="n"/>
      <c r="E105" s="17" t="n"/>
      <c r="F105" s="7" t="n"/>
      <c r="G105" s="4" t="n"/>
      <c r="H105" s="7">
        <f>IF(A105="","",SUMIFS(Платежи!$C:$C,Платежи!$B:$B,A105))</f>
        <v/>
      </c>
      <c r="I105" s="7">
        <f>IF(A105="","",MAX(0,D105-H105))</f>
        <v/>
      </c>
      <c r="J105" s="10">
        <f>IF(OR(A105="",D105=0),"",H105/D105)</f>
        <v/>
      </c>
    </row>
    <row r="106">
      <c r="D106" s="7" t="n"/>
      <c r="E106" s="17" t="n"/>
      <c r="F106" s="7" t="n"/>
      <c r="G106" s="4" t="n"/>
      <c r="H106" s="7">
        <f>IF(A106="","",SUMIFS(Платежи!$C:$C,Платежи!$B:$B,A106))</f>
        <v/>
      </c>
      <c r="I106" s="7">
        <f>IF(A106="","",MAX(0,D106-H106))</f>
        <v/>
      </c>
      <c r="J106" s="10">
        <f>IF(OR(A106="",D106=0),"",H106/D106)</f>
        <v/>
      </c>
    </row>
    <row r="107">
      <c r="D107" s="7" t="n"/>
      <c r="E107" s="17" t="n"/>
      <c r="F107" s="7" t="n"/>
      <c r="G107" s="4" t="n"/>
      <c r="H107" s="7">
        <f>IF(A107="","",SUMIFS(Платежи!$C:$C,Платежи!$B:$B,A107))</f>
        <v/>
      </c>
      <c r="I107" s="7">
        <f>IF(A107="","",MAX(0,D107-H107))</f>
        <v/>
      </c>
      <c r="J107" s="10">
        <f>IF(OR(A107="",D107=0),"",H107/D107)</f>
        <v/>
      </c>
    </row>
    <row r="108">
      <c r="D108" s="7" t="n"/>
      <c r="E108" s="17" t="n"/>
      <c r="F108" s="7" t="n"/>
      <c r="G108" s="4" t="n"/>
      <c r="H108" s="7">
        <f>IF(A108="","",SUMIFS(Платежи!$C:$C,Платежи!$B:$B,A108))</f>
        <v/>
      </c>
      <c r="I108" s="7">
        <f>IF(A108="","",MAX(0,D108-H108))</f>
        <v/>
      </c>
      <c r="J108" s="10">
        <f>IF(OR(A108="",D108=0),"",H108/D108)</f>
        <v/>
      </c>
    </row>
    <row r="109">
      <c r="D109" s="7" t="n"/>
      <c r="E109" s="17" t="n"/>
      <c r="F109" s="7" t="n"/>
      <c r="G109" s="4" t="n"/>
      <c r="H109" s="7">
        <f>IF(A109="","",SUMIFS(Платежи!$C:$C,Платежи!$B:$B,A109))</f>
        <v/>
      </c>
      <c r="I109" s="7">
        <f>IF(A109="","",MAX(0,D109-H109))</f>
        <v/>
      </c>
      <c r="J109" s="10">
        <f>IF(OR(A109="",D109=0),"",H109/D109)</f>
        <v/>
      </c>
    </row>
    <row r="110">
      <c r="D110" s="7" t="n"/>
      <c r="E110" s="17" t="n"/>
      <c r="F110" s="7" t="n"/>
      <c r="G110" s="4" t="n"/>
      <c r="H110" s="7">
        <f>IF(A110="","",SUMIFS(Платежи!$C:$C,Платежи!$B:$B,A110))</f>
        <v/>
      </c>
      <c r="I110" s="7">
        <f>IF(A110="","",MAX(0,D110-H110))</f>
        <v/>
      </c>
      <c r="J110" s="10">
        <f>IF(OR(A110="",D110=0),"",H110/D110)</f>
        <v/>
      </c>
    </row>
    <row r="111">
      <c r="D111" s="7" t="n"/>
      <c r="E111" s="17" t="n"/>
      <c r="F111" s="7" t="n"/>
      <c r="G111" s="4" t="n"/>
      <c r="H111" s="7">
        <f>IF(A111="","",SUMIFS(Платежи!$C:$C,Платежи!$B:$B,A111))</f>
        <v/>
      </c>
      <c r="I111" s="7">
        <f>IF(A111="","",MAX(0,D111-H111))</f>
        <v/>
      </c>
      <c r="J111" s="10">
        <f>IF(OR(A111="",D111=0),"",H111/D111)</f>
        <v/>
      </c>
    </row>
    <row r="112">
      <c r="D112" s="7" t="n"/>
      <c r="E112" s="17" t="n"/>
      <c r="F112" s="7" t="n"/>
      <c r="G112" s="4" t="n"/>
      <c r="H112" s="7">
        <f>IF(A112="","",SUMIFS(Платежи!$C:$C,Платежи!$B:$B,A112))</f>
        <v/>
      </c>
      <c r="I112" s="7">
        <f>IF(A112="","",MAX(0,D112-H112))</f>
        <v/>
      </c>
      <c r="J112" s="10">
        <f>IF(OR(A112="",D112=0),"",H112/D112)</f>
        <v/>
      </c>
    </row>
    <row r="113">
      <c r="D113" s="7" t="n"/>
      <c r="E113" s="17" t="n"/>
      <c r="F113" s="7" t="n"/>
      <c r="G113" s="4" t="n"/>
      <c r="H113" s="7">
        <f>IF(A113="","",SUMIFS(Платежи!$C:$C,Платежи!$B:$B,A113))</f>
        <v/>
      </c>
      <c r="I113" s="7">
        <f>IF(A113="","",MAX(0,D113-H113))</f>
        <v/>
      </c>
      <c r="J113" s="10">
        <f>IF(OR(A113="",D113=0),"",H113/D113)</f>
        <v/>
      </c>
    </row>
    <row r="114">
      <c r="D114" s="7" t="n"/>
      <c r="E114" s="17" t="n"/>
      <c r="F114" s="7" t="n"/>
      <c r="G114" s="4" t="n"/>
      <c r="H114" s="7">
        <f>IF(A114="","",SUMIFS(Платежи!$C:$C,Платежи!$B:$B,A114))</f>
        <v/>
      </c>
      <c r="I114" s="7">
        <f>IF(A114="","",MAX(0,D114-H114))</f>
        <v/>
      </c>
      <c r="J114" s="10">
        <f>IF(OR(A114="",D114=0),"",H114/D114)</f>
        <v/>
      </c>
    </row>
    <row r="115">
      <c r="D115" s="7" t="n"/>
      <c r="E115" s="17" t="n"/>
      <c r="F115" s="7" t="n"/>
      <c r="G115" s="4" t="n"/>
      <c r="H115" s="7">
        <f>IF(A115="","",SUMIFS(Платежи!$C:$C,Платежи!$B:$B,A115))</f>
        <v/>
      </c>
      <c r="I115" s="7">
        <f>IF(A115="","",MAX(0,D115-H115))</f>
        <v/>
      </c>
      <c r="J115" s="10">
        <f>IF(OR(A115="",D115=0),"",H115/D115)</f>
        <v/>
      </c>
    </row>
    <row r="116">
      <c r="D116" s="7" t="n"/>
      <c r="E116" s="17" t="n"/>
      <c r="F116" s="7" t="n"/>
      <c r="G116" s="4" t="n"/>
      <c r="H116" s="7">
        <f>IF(A116="","",SUMIFS(Платежи!$C:$C,Платежи!$B:$B,A116))</f>
        <v/>
      </c>
      <c r="I116" s="7">
        <f>IF(A116="","",MAX(0,D116-H116))</f>
        <v/>
      </c>
      <c r="J116" s="10">
        <f>IF(OR(A116="",D116=0),"",H116/D116)</f>
        <v/>
      </c>
    </row>
    <row r="117">
      <c r="D117" s="7" t="n"/>
      <c r="E117" s="17" t="n"/>
      <c r="F117" s="7" t="n"/>
      <c r="G117" s="4" t="n"/>
      <c r="H117" s="7">
        <f>IF(A117="","",SUMIFS(Платежи!$C:$C,Платежи!$B:$B,A117))</f>
        <v/>
      </c>
      <c r="I117" s="7">
        <f>IF(A117="","",MAX(0,D117-H117))</f>
        <v/>
      </c>
      <c r="J117" s="10">
        <f>IF(OR(A117="",D117=0),"",H117/D117)</f>
        <v/>
      </c>
    </row>
    <row r="118">
      <c r="D118" s="7" t="n"/>
      <c r="E118" s="17" t="n"/>
      <c r="F118" s="7" t="n"/>
      <c r="G118" s="4" t="n"/>
      <c r="H118" s="7">
        <f>IF(A118="","",SUMIFS(Платежи!$C:$C,Платежи!$B:$B,A118))</f>
        <v/>
      </c>
      <c r="I118" s="7">
        <f>IF(A118="","",MAX(0,D118-H118))</f>
        <v/>
      </c>
      <c r="J118" s="10">
        <f>IF(OR(A118="",D118=0),"",H118/D118)</f>
        <v/>
      </c>
    </row>
    <row r="119">
      <c r="D119" s="7" t="n"/>
      <c r="E119" s="17" t="n"/>
      <c r="F119" s="7" t="n"/>
      <c r="G119" s="4" t="n"/>
      <c r="H119" s="7">
        <f>IF(A119="","",SUMIFS(Платежи!$C:$C,Платежи!$B:$B,A119))</f>
        <v/>
      </c>
      <c r="I119" s="7">
        <f>IF(A119="","",MAX(0,D119-H119))</f>
        <v/>
      </c>
      <c r="J119" s="10">
        <f>IF(OR(A119="",D119=0),"",H119/D119)</f>
        <v/>
      </c>
    </row>
    <row r="120">
      <c r="D120" s="7" t="n"/>
      <c r="E120" s="17" t="n"/>
      <c r="F120" s="7" t="n"/>
      <c r="G120" s="4" t="n"/>
      <c r="H120" s="7">
        <f>IF(A120="","",SUMIFS(Платежи!$C:$C,Платежи!$B:$B,A120))</f>
        <v/>
      </c>
      <c r="I120" s="7">
        <f>IF(A120="","",MAX(0,D120-H120))</f>
        <v/>
      </c>
      <c r="J120" s="10">
        <f>IF(OR(A120="",D120=0),"",H120/D120)</f>
        <v/>
      </c>
    </row>
    <row r="121">
      <c r="D121" s="7" t="n"/>
      <c r="E121" s="17" t="n"/>
      <c r="F121" s="7" t="n"/>
      <c r="G121" s="4" t="n"/>
      <c r="H121" s="7">
        <f>IF(A121="","",SUMIFS(Платежи!$C:$C,Платежи!$B:$B,A121))</f>
        <v/>
      </c>
      <c r="I121" s="7">
        <f>IF(A121="","",MAX(0,D121-H121))</f>
        <v/>
      </c>
      <c r="J121" s="10">
        <f>IF(OR(A121="",D121=0),"",H121/D121)</f>
        <v/>
      </c>
    </row>
    <row r="122">
      <c r="D122" s="7" t="n"/>
      <c r="E122" s="17" t="n"/>
      <c r="F122" s="7" t="n"/>
      <c r="G122" s="4" t="n"/>
      <c r="H122" s="7">
        <f>IF(A122="","",SUMIFS(Платежи!$C:$C,Платежи!$B:$B,A122))</f>
        <v/>
      </c>
      <c r="I122" s="7">
        <f>IF(A122="","",MAX(0,D122-H122))</f>
        <v/>
      </c>
      <c r="J122" s="10">
        <f>IF(OR(A122="",D122=0),"",H122/D122)</f>
        <v/>
      </c>
    </row>
    <row r="123">
      <c r="D123" s="7" t="n"/>
      <c r="E123" s="17" t="n"/>
      <c r="F123" s="7" t="n"/>
      <c r="G123" s="4" t="n"/>
      <c r="H123" s="7">
        <f>IF(A123="","",SUMIFS(Платежи!$C:$C,Платежи!$B:$B,A123))</f>
        <v/>
      </c>
      <c r="I123" s="7">
        <f>IF(A123="","",MAX(0,D123-H123))</f>
        <v/>
      </c>
      <c r="J123" s="10">
        <f>IF(OR(A123="",D123=0),"",H123/D123)</f>
        <v/>
      </c>
    </row>
    <row r="124">
      <c r="D124" s="7" t="n"/>
      <c r="E124" s="17" t="n"/>
      <c r="F124" s="7" t="n"/>
      <c r="G124" s="4" t="n"/>
      <c r="H124" s="7">
        <f>IF(A124="","",SUMIFS(Платежи!$C:$C,Платежи!$B:$B,A124))</f>
        <v/>
      </c>
      <c r="I124" s="7">
        <f>IF(A124="","",MAX(0,D124-H124))</f>
        <v/>
      </c>
      <c r="J124" s="10">
        <f>IF(OR(A124="",D124=0),"",H124/D124)</f>
        <v/>
      </c>
    </row>
    <row r="125">
      <c r="D125" s="7" t="n"/>
      <c r="E125" s="17" t="n"/>
      <c r="F125" s="7" t="n"/>
      <c r="G125" s="4" t="n"/>
      <c r="H125" s="7">
        <f>IF(A125="","",SUMIFS(Платежи!$C:$C,Платежи!$B:$B,A125))</f>
        <v/>
      </c>
      <c r="I125" s="7">
        <f>IF(A125="","",MAX(0,D125-H125))</f>
        <v/>
      </c>
      <c r="J125" s="10">
        <f>IF(OR(A125="",D125=0),"",H125/D125)</f>
        <v/>
      </c>
    </row>
    <row r="126">
      <c r="D126" s="7" t="n"/>
      <c r="E126" s="17" t="n"/>
      <c r="F126" s="7" t="n"/>
      <c r="G126" s="4" t="n"/>
      <c r="H126" s="7">
        <f>IF(A126="","",SUMIFS(Платежи!$C:$C,Платежи!$B:$B,A126))</f>
        <v/>
      </c>
      <c r="I126" s="7">
        <f>IF(A126="","",MAX(0,D126-H126))</f>
        <v/>
      </c>
      <c r="J126" s="10">
        <f>IF(OR(A126="",D126=0),"",H126/D126)</f>
        <v/>
      </c>
    </row>
    <row r="127">
      <c r="D127" s="7" t="n"/>
      <c r="E127" s="17" t="n"/>
      <c r="F127" s="7" t="n"/>
      <c r="G127" s="4" t="n"/>
      <c r="H127" s="7">
        <f>IF(A127="","",SUMIFS(Платежи!$C:$C,Платежи!$B:$B,A127))</f>
        <v/>
      </c>
      <c r="I127" s="7">
        <f>IF(A127="","",MAX(0,D127-H127))</f>
        <v/>
      </c>
      <c r="J127" s="10">
        <f>IF(OR(A127="",D127=0),"",H127/D127)</f>
        <v/>
      </c>
    </row>
    <row r="128">
      <c r="D128" s="7" t="n"/>
      <c r="E128" s="17" t="n"/>
      <c r="F128" s="7" t="n"/>
      <c r="G128" s="4" t="n"/>
      <c r="H128" s="7">
        <f>IF(A128="","",SUMIFS(Платежи!$C:$C,Платежи!$B:$B,A128))</f>
        <v/>
      </c>
      <c r="I128" s="7">
        <f>IF(A128="","",MAX(0,D128-H128))</f>
        <v/>
      </c>
      <c r="J128" s="10">
        <f>IF(OR(A128="",D128=0),"",H128/D128)</f>
        <v/>
      </c>
    </row>
    <row r="129">
      <c r="D129" s="7" t="n"/>
      <c r="E129" s="17" t="n"/>
      <c r="F129" s="7" t="n"/>
      <c r="G129" s="4" t="n"/>
      <c r="H129" s="7">
        <f>IF(A129="","",SUMIFS(Платежи!$C:$C,Платежи!$B:$B,A129))</f>
        <v/>
      </c>
      <c r="I129" s="7">
        <f>IF(A129="","",MAX(0,D129-H129))</f>
        <v/>
      </c>
      <c r="J129" s="10">
        <f>IF(OR(A129="",D129=0),"",H129/D129)</f>
        <v/>
      </c>
    </row>
    <row r="130">
      <c r="D130" s="7" t="n"/>
      <c r="E130" s="17" t="n"/>
      <c r="F130" s="7" t="n"/>
      <c r="G130" s="4" t="n"/>
      <c r="H130" s="7">
        <f>IF(A130="","",SUMIFS(Платежи!$C:$C,Платежи!$B:$B,A130))</f>
        <v/>
      </c>
      <c r="I130" s="7">
        <f>IF(A130="","",MAX(0,D130-H130))</f>
        <v/>
      </c>
      <c r="J130" s="10">
        <f>IF(OR(A130="",D130=0),"",H130/D130)</f>
        <v/>
      </c>
    </row>
    <row r="131">
      <c r="D131" s="7" t="n"/>
      <c r="E131" s="17" t="n"/>
      <c r="F131" s="7" t="n"/>
      <c r="G131" s="4" t="n"/>
      <c r="H131" s="7">
        <f>IF(A131="","",SUMIFS(Платежи!$C:$C,Платежи!$B:$B,A131))</f>
        <v/>
      </c>
      <c r="I131" s="7">
        <f>IF(A131="","",MAX(0,D131-H131))</f>
        <v/>
      </c>
      <c r="J131" s="10">
        <f>IF(OR(A131="",D131=0),"",H131/D131)</f>
        <v/>
      </c>
    </row>
    <row r="132">
      <c r="D132" s="7" t="n"/>
      <c r="E132" s="17" t="n"/>
      <c r="F132" s="7" t="n"/>
      <c r="G132" s="4" t="n"/>
      <c r="H132" s="7">
        <f>IF(A132="","",SUMIFS(Платежи!$C:$C,Платежи!$B:$B,A132))</f>
        <v/>
      </c>
      <c r="I132" s="7">
        <f>IF(A132="","",MAX(0,D132-H132))</f>
        <v/>
      </c>
      <c r="J132" s="10">
        <f>IF(OR(A132="",D132=0),"",H132/D132)</f>
        <v/>
      </c>
    </row>
    <row r="133">
      <c r="D133" s="7" t="n"/>
      <c r="E133" s="17" t="n"/>
      <c r="F133" s="7" t="n"/>
      <c r="G133" s="4" t="n"/>
      <c r="H133" s="7">
        <f>IF(A133="","",SUMIFS(Платежи!$C:$C,Платежи!$B:$B,A133))</f>
        <v/>
      </c>
      <c r="I133" s="7">
        <f>IF(A133="","",MAX(0,D133-H133))</f>
        <v/>
      </c>
      <c r="J133" s="10">
        <f>IF(OR(A133="",D133=0),"",H133/D133)</f>
        <v/>
      </c>
    </row>
    <row r="134">
      <c r="D134" s="7" t="n"/>
      <c r="E134" s="17" t="n"/>
      <c r="F134" s="7" t="n"/>
      <c r="G134" s="4" t="n"/>
      <c r="H134" s="7">
        <f>IF(A134="","",SUMIFS(Платежи!$C:$C,Платежи!$B:$B,A134))</f>
        <v/>
      </c>
      <c r="I134" s="7">
        <f>IF(A134="","",MAX(0,D134-H134))</f>
        <v/>
      </c>
      <c r="J134" s="10">
        <f>IF(OR(A134="",D134=0),"",H134/D134)</f>
        <v/>
      </c>
    </row>
    <row r="135">
      <c r="D135" s="7" t="n"/>
      <c r="E135" s="17" t="n"/>
      <c r="F135" s="7" t="n"/>
      <c r="G135" s="4" t="n"/>
      <c r="H135" s="7">
        <f>IF(A135="","",SUMIFS(Платежи!$C:$C,Платежи!$B:$B,A135))</f>
        <v/>
      </c>
      <c r="I135" s="7">
        <f>IF(A135="","",MAX(0,D135-H135))</f>
        <v/>
      </c>
      <c r="J135" s="10">
        <f>IF(OR(A135="",D135=0),"",H135/D135)</f>
        <v/>
      </c>
    </row>
    <row r="136">
      <c r="D136" s="7" t="n"/>
      <c r="E136" s="17" t="n"/>
      <c r="F136" s="7" t="n"/>
      <c r="G136" s="4" t="n"/>
      <c r="H136" s="7">
        <f>IF(A136="","",SUMIFS(Платежи!$C:$C,Платежи!$B:$B,A136))</f>
        <v/>
      </c>
      <c r="I136" s="7">
        <f>IF(A136="","",MAX(0,D136-H136))</f>
        <v/>
      </c>
      <c r="J136" s="10">
        <f>IF(OR(A136="",D136=0),"",H136/D136)</f>
        <v/>
      </c>
    </row>
    <row r="137">
      <c r="D137" s="7" t="n"/>
      <c r="E137" s="17" t="n"/>
      <c r="F137" s="7" t="n"/>
      <c r="G137" s="4" t="n"/>
      <c r="H137" s="7">
        <f>IF(A137="","",SUMIFS(Платежи!$C:$C,Платежи!$B:$B,A137))</f>
        <v/>
      </c>
      <c r="I137" s="7">
        <f>IF(A137="","",MAX(0,D137-H137))</f>
        <v/>
      </c>
      <c r="J137" s="10">
        <f>IF(OR(A137="",D137=0),"",H137/D137)</f>
        <v/>
      </c>
    </row>
    <row r="138">
      <c r="D138" s="7" t="n"/>
      <c r="E138" s="17" t="n"/>
      <c r="F138" s="7" t="n"/>
      <c r="G138" s="4" t="n"/>
      <c r="H138" s="7">
        <f>IF(A138="","",SUMIFS(Платежи!$C:$C,Платежи!$B:$B,A138))</f>
        <v/>
      </c>
      <c r="I138" s="7">
        <f>IF(A138="","",MAX(0,D138-H138))</f>
        <v/>
      </c>
      <c r="J138" s="10">
        <f>IF(OR(A138="",D138=0),"",H138/D138)</f>
        <v/>
      </c>
    </row>
    <row r="139">
      <c r="D139" s="7" t="n"/>
      <c r="E139" s="17" t="n"/>
      <c r="F139" s="7" t="n"/>
      <c r="G139" s="4" t="n"/>
      <c r="H139" s="7">
        <f>IF(A139="","",SUMIFS(Платежи!$C:$C,Платежи!$B:$B,A139))</f>
        <v/>
      </c>
      <c r="I139" s="7">
        <f>IF(A139="","",MAX(0,D139-H139))</f>
        <v/>
      </c>
      <c r="J139" s="10">
        <f>IF(OR(A139="",D139=0),"",H139/D139)</f>
        <v/>
      </c>
    </row>
    <row r="140">
      <c r="D140" s="7" t="n"/>
      <c r="E140" s="17" t="n"/>
      <c r="F140" s="7" t="n"/>
      <c r="G140" s="4" t="n"/>
      <c r="H140" s="7">
        <f>IF(A140="","",SUMIFS(Платежи!$C:$C,Платежи!$B:$B,A140))</f>
        <v/>
      </c>
      <c r="I140" s="7">
        <f>IF(A140="","",MAX(0,D140-H140))</f>
        <v/>
      </c>
      <c r="J140" s="10">
        <f>IF(OR(A140="",D140=0),"",H140/D140)</f>
        <v/>
      </c>
    </row>
    <row r="141">
      <c r="D141" s="7" t="n"/>
      <c r="E141" s="17" t="n"/>
      <c r="F141" s="7" t="n"/>
      <c r="G141" s="4" t="n"/>
      <c r="H141" s="7">
        <f>IF(A141="","",SUMIFS(Платежи!$C:$C,Платежи!$B:$B,A141))</f>
        <v/>
      </c>
      <c r="I141" s="7">
        <f>IF(A141="","",MAX(0,D141-H141))</f>
        <v/>
      </c>
      <c r="J141" s="10">
        <f>IF(OR(A141="",D141=0),"",H141/D141)</f>
        <v/>
      </c>
    </row>
    <row r="142">
      <c r="D142" s="7" t="n"/>
      <c r="E142" s="17" t="n"/>
      <c r="F142" s="7" t="n"/>
      <c r="G142" s="4" t="n"/>
      <c r="H142" s="7">
        <f>IF(A142="","",SUMIFS(Платежи!$C:$C,Платежи!$B:$B,A142))</f>
        <v/>
      </c>
      <c r="I142" s="7">
        <f>IF(A142="","",MAX(0,D142-H142))</f>
        <v/>
      </c>
      <c r="J142" s="10">
        <f>IF(OR(A142="",D142=0),"",H142/D142)</f>
        <v/>
      </c>
    </row>
    <row r="143">
      <c r="D143" s="7" t="n"/>
      <c r="E143" s="17" t="n"/>
      <c r="F143" s="7" t="n"/>
      <c r="G143" s="4" t="n"/>
      <c r="H143" s="7">
        <f>IF(A143="","",SUMIFS(Платежи!$C:$C,Платежи!$B:$B,A143))</f>
        <v/>
      </c>
      <c r="I143" s="7">
        <f>IF(A143="","",MAX(0,D143-H143))</f>
        <v/>
      </c>
      <c r="J143" s="10">
        <f>IF(OR(A143="",D143=0),"",H143/D143)</f>
        <v/>
      </c>
    </row>
    <row r="144">
      <c r="D144" s="7" t="n"/>
      <c r="E144" s="17" t="n"/>
      <c r="F144" s="7" t="n"/>
      <c r="G144" s="4" t="n"/>
      <c r="H144" s="7">
        <f>IF(A144="","",SUMIFS(Платежи!$C:$C,Платежи!$B:$B,A144))</f>
        <v/>
      </c>
      <c r="I144" s="7">
        <f>IF(A144="","",MAX(0,D144-H144))</f>
        <v/>
      </c>
      <c r="J144" s="10">
        <f>IF(OR(A144="",D144=0),"",H144/D144)</f>
        <v/>
      </c>
    </row>
    <row r="145">
      <c r="D145" s="7" t="n"/>
      <c r="E145" s="17" t="n"/>
      <c r="F145" s="7" t="n"/>
      <c r="G145" s="4" t="n"/>
      <c r="H145" s="7">
        <f>IF(A145="","",SUMIFS(Платежи!$C:$C,Платежи!$B:$B,A145))</f>
        <v/>
      </c>
      <c r="I145" s="7">
        <f>IF(A145="","",MAX(0,D145-H145))</f>
        <v/>
      </c>
      <c r="J145" s="10">
        <f>IF(OR(A145="",D145=0),"",H145/D145)</f>
        <v/>
      </c>
    </row>
    <row r="146">
      <c r="D146" s="7" t="n"/>
      <c r="E146" s="17" t="n"/>
      <c r="F146" s="7" t="n"/>
      <c r="G146" s="4" t="n"/>
      <c r="H146" s="7">
        <f>IF(A146="","",SUMIFS(Платежи!$C:$C,Платежи!$B:$B,A146))</f>
        <v/>
      </c>
      <c r="I146" s="7">
        <f>IF(A146="","",MAX(0,D146-H146))</f>
        <v/>
      </c>
      <c r="J146" s="10">
        <f>IF(OR(A146="",D146=0),"",H146/D146)</f>
        <v/>
      </c>
    </row>
    <row r="147">
      <c r="D147" s="7" t="n"/>
      <c r="E147" s="17" t="n"/>
      <c r="F147" s="7" t="n"/>
      <c r="G147" s="4" t="n"/>
      <c r="H147" s="7">
        <f>IF(A147="","",SUMIFS(Платежи!$C:$C,Платежи!$B:$B,A147))</f>
        <v/>
      </c>
      <c r="I147" s="7">
        <f>IF(A147="","",MAX(0,D147-H147))</f>
        <v/>
      </c>
      <c r="J147" s="10">
        <f>IF(OR(A147="",D147=0),"",H147/D147)</f>
        <v/>
      </c>
    </row>
    <row r="148">
      <c r="D148" s="7" t="n"/>
      <c r="E148" s="17" t="n"/>
      <c r="F148" s="7" t="n"/>
      <c r="G148" s="4" t="n"/>
      <c r="H148" s="7">
        <f>IF(A148="","",SUMIFS(Платежи!$C:$C,Платежи!$B:$B,A148))</f>
        <v/>
      </c>
      <c r="I148" s="7">
        <f>IF(A148="","",MAX(0,D148-H148))</f>
        <v/>
      </c>
      <c r="J148" s="10">
        <f>IF(OR(A148="",D148=0),"",H148/D148)</f>
        <v/>
      </c>
    </row>
    <row r="149">
      <c r="D149" s="7" t="n"/>
      <c r="E149" s="17" t="n"/>
      <c r="F149" s="7" t="n"/>
      <c r="G149" s="4" t="n"/>
      <c r="H149" s="7">
        <f>IF(A149="","",SUMIFS(Платежи!$C:$C,Платежи!$B:$B,A149))</f>
        <v/>
      </c>
      <c r="I149" s="7">
        <f>IF(A149="","",MAX(0,D149-H149))</f>
        <v/>
      </c>
      <c r="J149" s="10">
        <f>IF(OR(A149="",D149=0),"",H149/D149)</f>
        <v/>
      </c>
    </row>
    <row r="150">
      <c r="D150" s="7" t="n"/>
      <c r="E150" s="17" t="n"/>
      <c r="F150" s="7" t="n"/>
      <c r="G150" s="4" t="n"/>
      <c r="H150" s="7">
        <f>IF(A150="","",SUMIFS(Платежи!$C:$C,Платежи!$B:$B,A150))</f>
        <v/>
      </c>
      <c r="I150" s="7">
        <f>IF(A150="","",MAX(0,D150-H150))</f>
        <v/>
      </c>
      <c r="J150" s="10">
        <f>IF(OR(A150="",D150=0),"",H150/D150)</f>
        <v/>
      </c>
    </row>
    <row r="151">
      <c r="D151" s="7" t="n"/>
      <c r="E151" s="17" t="n"/>
      <c r="F151" s="7" t="n"/>
      <c r="G151" s="4" t="n"/>
      <c r="H151" s="7">
        <f>IF(A151="","",SUMIFS(Платежи!$C:$C,Платежи!$B:$B,A151))</f>
        <v/>
      </c>
      <c r="I151" s="7">
        <f>IF(A151="","",MAX(0,D151-H151))</f>
        <v/>
      </c>
      <c r="J151" s="10">
        <f>IF(OR(A151="",D151=0),"",H151/D151)</f>
        <v/>
      </c>
    </row>
    <row r="152">
      <c r="D152" s="7" t="n"/>
      <c r="E152" s="17" t="n"/>
      <c r="F152" s="7" t="n"/>
      <c r="G152" s="4" t="n"/>
      <c r="H152" s="7">
        <f>IF(A152="","",SUMIFS(Платежи!$C:$C,Платежи!$B:$B,A152))</f>
        <v/>
      </c>
      <c r="I152" s="7">
        <f>IF(A152="","",MAX(0,D152-H152))</f>
        <v/>
      </c>
      <c r="J152" s="10">
        <f>IF(OR(A152="",D152=0),"",H152/D152)</f>
        <v/>
      </c>
    </row>
    <row r="153">
      <c r="D153" s="7" t="n"/>
      <c r="E153" s="17" t="n"/>
      <c r="F153" s="7" t="n"/>
      <c r="G153" s="4" t="n"/>
      <c r="H153" s="7">
        <f>IF(A153="","",SUMIFS(Платежи!$C:$C,Платежи!$B:$B,A153))</f>
        <v/>
      </c>
      <c r="I153" s="7">
        <f>IF(A153="","",MAX(0,D153-H153))</f>
        <v/>
      </c>
      <c r="J153" s="10">
        <f>IF(OR(A153="",D153=0),"",H153/D153)</f>
        <v/>
      </c>
    </row>
    <row r="154">
      <c r="D154" s="7" t="n"/>
      <c r="E154" s="17" t="n"/>
      <c r="F154" s="7" t="n"/>
      <c r="G154" s="4" t="n"/>
      <c r="H154" s="7">
        <f>IF(A154="","",SUMIFS(Платежи!$C:$C,Платежи!$B:$B,A154))</f>
        <v/>
      </c>
      <c r="I154" s="7">
        <f>IF(A154="","",MAX(0,D154-H154))</f>
        <v/>
      </c>
      <c r="J154" s="10">
        <f>IF(OR(A154="",D154=0),"",H154/D154)</f>
        <v/>
      </c>
    </row>
    <row r="155">
      <c r="D155" s="7" t="n"/>
      <c r="E155" s="17" t="n"/>
      <c r="F155" s="7" t="n"/>
      <c r="G155" s="4" t="n"/>
      <c r="H155" s="7">
        <f>IF(A155="","",SUMIFS(Платежи!$C:$C,Платежи!$B:$B,A155))</f>
        <v/>
      </c>
      <c r="I155" s="7">
        <f>IF(A155="","",MAX(0,D155-H155))</f>
        <v/>
      </c>
      <c r="J155" s="10">
        <f>IF(OR(A155="",D155=0),"",H155/D155)</f>
        <v/>
      </c>
    </row>
    <row r="156">
      <c r="D156" s="7" t="n"/>
      <c r="E156" s="17" t="n"/>
      <c r="F156" s="7" t="n"/>
      <c r="G156" s="4" t="n"/>
      <c r="H156" s="7">
        <f>IF(A156="","",SUMIFS(Платежи!$C:$C,Платежи!$B:$B,A156))</f>
        <v/>
      </c>
      <c r="I156" s="7">
        <f>IF(A156="","",MAX(0,D156-H156))</f>
        <v/>
      </c>
      <c r="J156" s="10">
        <f>IF(OR(A156="",D156=0),"",H156/D156)</f>
        <v/>
      </c>
    </row>
    <row r="157">
      <c r="D157" s="7" t="n"/>
      <c r="E157" s="17" t="n"/>
      <c r="F157" s="7" t="n"/>
      <c r="G157" s="4" t="n"/>
      <c r="H157" s="7">
        <f>IF(A157="","",SUMIFS(Платежи!$C:$C,Платежи!$B:$B,A157))</f>
        <v/>
      </c>
      <c r="I157" s="7">
        <f>IF(A157="","",MAX(0,D157-H157))</f>
        <v/>
      </c>
      <c r="J157" s="10">
        <f>IF(OR(A157="",D157=0),"",H157/D157)</f>
        <v/>
      </c>
    </row>
    <row r="158">
      <c r="D158" s="7" t="n"/>
      <c r="E158" s="17" t="n"/>
      <c r="F158" s="7" t="n"/>
      <c r="G158" s="4" t="n"/>
      <c r="H158" s="7">
        <f>IF(A158="","",SUMIFS(Платежи!$C:$C,Платежи!$B:$B,A158))</f>
        <v/>
      </c>
      <c r="I158" s="7">
        <f>IF(A158="","",MAX(0,D158-H158))</f>
        <v/>
      </c>
      <c r="J158" s="10">
        <f>IF(OR(A158="",D158=0),"",H158/D158)</f>
        <v/>
      </c>
    </row>
    <row r="159">
      <c r="D159" s="7" t="n"/>
      <c r="E159" s="17" t="n"/>
      <c r="F159" s="7" t="n"/>
      <c r="G159" s="4" t="n"/>
      <c r="H159" s="7">
        <f>IF(A159="","",SUMIFS(Платежи!$C:$C,Платежи!$B:$B,A159))</f>
        <v/>
      </c>
      <c r="I159" s="7">
        <f>IF(A159="","",MAX(0,D159-H159))</f>
        <v/>
      </c>
      <c r="J159" s="10">
        <f>IF(OR(A159="",D159=0),"",H159/D159)</f>
        <v/>
      </c>
    </row>
    <row r="160">
      <c r="D160" s="7" t="n"/>
      <c r="E160" s="17" t="n"/>
      <c r="F160" s="7" t="n"/>
      <c r="G160" s="4" t="n"/>
      <c r="H160" s="7">
        <f>IF(A160="","",SUMIFS(Платежи!$C:$C,Платежи!$B:$B,A160))</f>
        <v/>
      </c>
      <c r="I160" s="7">
        <f>IF(A160="","",MAX(0,D160-H160))</f>
        <v/>
      </c>
      <c r="J160" s="10">
        <f>IF(OR(A160="",D160=0),"",H160/D160)</f>
        <v/>
      </c>
    </row>
    <row r="161">
      <c r="D161" s="7" t="n"/>
      <c r="E161" s="17" t="n"/>
      <c r="F161" s="7" t="n"/>
      <c r="G161" s="4" t="n"/>
      <c r="H161" s="7">
        <f>IF(A161="","",SUMIFS(Платежи!$C:$C,Платежи!$B:$B,A161))</f>
        <v/>
      </c>
      <c r="I161" s="7">
        <f>IF(A161="","",MAX(0,D161-H161))</f>
        <v/>
      </c>
      <c r="J161" s="10">
        <f>IF(OR(A161="",D161=0),"",H161/D161)</f>
        <v/>
      </c>
    </row>
    <row r="162">
      <c r="D162" s="7" t="n"/>
      <c r="E162" s="17" t="n"/>
      <c r="F162" s="7" t="n"/>
      <c r="G162" s="4" t="n"/>
      <c r="H162" s="7">
        <f>IF(A162="","",SUMIFS(Платежи!$C:$C,Платежи!$B:$B,A162))</f>
        <v/>
      </c>
      <c r="I162" s="7">
        <f>IF(A162="","",MAX(0,D162-H162))</f>
        <v/>
      </c>
      <c r="J162" s="10">
        <f>IF(OR(A162="",D162=0),"",H162/D162)</f>
        <v/>
      </c>
    </row>
    <row r="163">
      <c r="D163" s="7" t="n"/>
      <c r="E163" s="17" t="n"/>
      <c r="F163" s="7" t="n"/>
      <c r="G163" s="4" t="n"/>
      <c r="H163" s="7">
        <f>IF(A163="","",SUMIFS(Платежи!$C:$C,Платежи!$B:$B,A163))</f>
        <v/>
      </c>
      <c r="I163" s="7">
        <f>IF(A163="","",MAX(0,D163-H163))</f>
        <v/>
      </c>
      <c r="J163" s="10">
        <f>IF(OR(A163="",D163=0),"",H163/D163)</f>
        <v/>
      </c>
    </row>
    <row r="164">
      <c r="D164" s="7" t="n"/>
      <c r="E164" s="17" t="n"/>
      <c r="F164" s="7" t="n"/>
      <c r="G164" s="4" t="n"/>
      <c r="H164" s="7">
        <f>IF(A164="","",SUMIFS(Платежи!$C:$C,Платежи!$B:$B,A164))</f>
        <v/>
      </c>
      <c r="I164" s="7">
        <f>IF(A164="","",MAX(0,D164-H164))</f>
        <v/>
      </c>
      <c r="J164" s="10">
        <f>IF(OR(A164="",D164=0),"",H164/D164)</f>
        <v/>
      </c>
    </row>
    <row r="165">
      <c r="D165" s="7" t="n"/>
      <c r="E165" s="17" t="n"/>
      <c r="F165" s="7" t="n"/>
      <c r="G165" s="4" t="n"/>
      <c r="H165" s="7">
        <f>IF(A165="","",SUMIFS(Платежи!$C:$C,Платежи!$B:$B,A165))</f>
        <v/>
      </c>
      <c r="I165" s="7">
        <f>IF(A165="","",MAX(0,D165-H165))</f>
        <v/>
      </c>
      <c r="J165" s="10">
        <f>IF(OR(A165="",D165=0),"",H165/D165)</f>
        <v/>
      </c>
    </row>
    <row r="166">
      <c r="D166" s="7" t="n"/>
      <c r="E166" s="17" t="n"/>
      <c r="F166" s="7" t="n"/>
      <c r="G166" s="4" t="n"/>
      <c r="H166" s="7">
        <f>IF(A166="","",SUMIFS(Платежи!$C:$C,Платежи!$B:$B,A166))</f>
        <v/>
      </c>
      <c r="I166" s="7">
        <f>IF(A166="","",MAX(0,D166-H166))</f>
        <v/>
      </c>
      <c r="J166" s="10">
        <f>IF(OR(A166="",D166=0),"",H166/D166)</f>
        <v/>
      </c>
    </row>
    <row r="167">
      <c r="D167" s="7" t="n"/>
      <c r="E167" s="17" t="n"/>
      <c r="F167" s="7" t="n"/>
      <c r="G167" s="4" t="n"/>
      <c r="H167" s="7">
        <f>IF(A167="","",SUMIFS(Платежи!$C:$C,Платежи!$B:$B,A167))</f>
        <v/>
      </c>
      <c r="I167" s="7">
        <f>IF(A167="","",MAX(0,D167-H167))</f>
        <v/>
      </c>
      <c r="J167" s="10">
        <f>IF(OR(A167="",D167=0),"",H167/D167)</f>
        <v/>
      </c>
    </row>
    <row r="168">
      <c r="D168" s="7" t="n"/>
      <c r="E168" s="17" t="n"/>
      <c r="F168" s="7" t="n"/>
      <c r="G168" s="4" t="n"/>
      <c r="H168" s="7">
        <f>IF(A168="","",SUMIFS(Платежи!$C:$C,Платежи!$B:$B,A168))</f>
        <v/>
      </c>
      <c r="I168" s="7">
        <f>IF(A168="","",MAX(0,D168-H168))</f>
        <v/>
      </c>
      <c r="J168" s="10">
        <f>IF(OR(A168="",D168=0),"",H168/D168)</f>
        <v/>
      </c>
    </row>
    <row r="169">
      <c r="D169" s="7" t="n"/>
      <c r="E169" s="17" t="n"/>
      <c r="F169" s="7" t="n"/>
      <c r="G169" s="4" t="n"/>
      <c r="H169" s="7">
        <f>IF(A169="","",SUMIFS(Платежи!$C:$C,Платежи!$B:$B,A169))</f>
        <v/>
      </c>
      <c r="I169" s="7">
        <f>IF(A169="","",MAX(0,D169-H169))</f>
        <v/>
      </c>
      <c r="J169" s="10">
        <f>IF(OR(A169="",D169=0),"",H169/D169)</f>
        <v/>
      </c>
    </row>
    <row r="170">
      <c r="D170" s="7" t="n"/>
      <c r="E170" s="17" t="n"/>
      <c r="F170" s="7" t="n"/>
      <c r="G170" s="4" t="n"/>
      <c r="H170" s="7">
        <f>IF(A170="","",SUMIFS(Платежи!$C:$C,Платежи!$B:$B,A170))</f>
        <v/>
      </c>
      <c r="I170" s="7">
        <f>IF(A170="","",MAX(0,D170-H170))</f>
        <v/>
      </c>
      <c r="J170" s="10">
        <f>IF(OR(A170="",D170=0),"",H170/D170)</f>
        <v/>
      </c>
    </row>
    <row r="171">
      <c r="D171" s="7" t="n"/>
      <c r="E171" s="17" t="n"/>
      <c r="F171" s="7" t="n"/>
      <c r="G171" s="4" t="n"/>
      <c r="H171" s="7">
        <f>IF(A171="","",SUMIFS(Платежи!$C:$C,Платежи!$B:$B,A171))</f>
        <v/>
      </c>
      <c r="I171" s="7">
        <f>IF(A171="","",MAX(0,D171-H171))</f>
        <v/>
      </c>
      <c r="J171" s="10">
        <f>IF(OR(A171="",D171=0),"",H171/D171)</f>
        <v/>
      </c>
    </row>
    <row r="172">
      <c r="D172" s="7" t="n"/>
      <c r="E172" s="17" t="n"/>
      <c r="F172" s="7" t="n"/>
      <c r="G172" s="4" t="n"/>
      <c r="H172" s="7">
        <f>IF(A172="","",SUMIFS(Платежи!$C:$C,Платежи!$B:$B,A172))</f>
        <v/>
      </c>
      <c r="I172" s="7">
        <f>IF(A172="","",MAX(0,D172-H172))</f>
        <v/>
      </c>
      <c r="J172" s="10">
        <f>IF(OR(A172="",D172=0),"",H172/D172)</f>
        <v/>
      </c>
    </row>
    <row r="173">
      <c r="D173" s="7" t="n"/>
      <c r="E173" s="17" t="n"/>
      <c r="F173" s="7" t="n"/>
      <c r="G173" s="4" t="n"/>
      <c r="H173" s="7">
        <f>IF(A173="","",SUMIFS(Платежи!$C:$C,Платежи!$B:$B,A173))</f>
        <v/>
      </c>
      <c r="I173" s="7">
        <f>IF(A173="","",MAX(0,D173-H173))</f>
        <v/>
      </c>
      <c r="J173" s="10">
        <f>IF(OR(A173="",D173=0),"",H173/D173)</f>
        <v/>
      </c>
    </row>
    <row r="174">
      <c r="D174" s="7" t="n"/>
      <c r="E174" s="17" t="n"/>
      <c r="F174" s="7" t="n"/>
      <c r="G174" s="4" t="n"/>
      <c r="H174" s="7">
        <f>IF(A174="","",SUMIFS(Платежи!$C:$C,Платежи!$B:$B,A174))</f>
        <v/>
      </c>
      <c r="I174" s="7">
        <f>IF(A174="","",MAX(0,D174-H174))</f>
        <v/>
      </c>
      <c r="J174" s="10">
        <f>IF(OR(A174="",D174=0),"",H174/D174)</f>
        <v/>
      </c>
    </row>
    <row r="175">
      <c r="D175" s="7" t="n"/>
      <c r="E175" s="17" t="n"/>
      <c r="F175" s="7" t="n"/>
      <c r="G175" s="4" t="n"/>
      <c r="H175" s="7">
        <f>IF(A175="","",SUMIFS(Платежи!$C:$C,Платежи!$B:$B,A175))</f>
        <v/>
      </c>
      <c r="I175" s="7">
        <f>IF(A175="","",MAX(0,D175-H175))</f>
        <v/>
      </c>
      <c r="J175" s="10">
        <f>IF(OR(A175="",D175=0),"",H175/D175)</f>
        <v/>
      </c>
    </row>
    <row r="176">
      <c r="D176" s="7" t="n"/>
      <c r="E176" s="17" t="n"/>
      <c r="F176" s="7" t="n"/>
      <c r="G176" s="4" t="n"/>
      <c r="H176" s="7">
        <f>IF(A176="","",SUMIFS(Платежи!$C:$C,Платежи!$B:$B,A176))</f>
        <v/>
      </c>
      <c r="I176" s="7">
        <f>IF(A176="","",MAX(0,D176-H176))</f>
        <v/>
      </c>
      <c r="J176" s="10">
        <f>IF(OR(A176="",D176=0),"",H176/D176)</f>
        <v/>
      </c>
    </row>
    <row r="177">
      <c r="D177" s="7" t="n"/>
      <c r="E177" s="17" t="n"/>
      <c r="F177" s="7" t="n"/>
      <c r="G177" s="4" t="n"/>
      <c r="H177" s="7">
        <f>IF(A177="","",SUMIFS(Платежи!$C:$C,Платежи!$B:$B,A177))</f>
        <v/>
      </c>
      <c r="I177" s="7">
        <f>IF(A177="","",MAX(0,D177-H177))</f>
        <v/>
      </c>
      <c r="J177" s="10">
        <f>IF(OR(A177="",D177=0),"",H177/D177)</f>
        <v/>
      </c>
    </row>
    <row r="178">
      <c r="D178" s="7" t="n"/>
      <c r="E178" s="17" t="n"/>
      <c r="F178" s="7" t="n"/>
      <c r="G178" s="4" t="n"/>
      <c r="H178" s="7">
        <f>IF(A178="","",SUMIFS(Платежи!$C:$C,Платежи!$B:$B,A178))</f>
        <v/>
      </c>
      <c r="I178" s="7">
        <f>IF(A178="","",MAX(0,D178-H178))</f>
        <v/>
      </c>
      <c r="J178" s="10">
        <f>IF(OR(A178="",D178=0),"",H178/D178)</f>
        <v/>
      </c>
    </row>
    <row r="179">
      <c r="D179" s="7" t="n"/>
      <c r="E179" s="17" t="n"/>
      <c r="F179" s="7" t="n"/>
      <c r="G179" s="4" t="n"/>
      <c r="H179" s="7">
        <f>IF(A179="","",SUMIFS(Платежи!$C:$C,Платежи!$B:$B,A179))</f>
        <v/>
      </c>
      <c r="I179" s="7">
        <f>IF(A179="","",MAX(0,D179-H179))</f>
        <v/>
      </c>
      <c r="J179" s="10">
        <f>IF(OR(A179="",D179=0),"",H179/D179)</f>
        <v/>
      </c>
    </row>
    <row r="180">
      <c r="D180" s="7" t="n"/>
      <c r="E180" s="17" t="n"/>
      <c r="F180" s="7" t="n"/>
      <c r="G180" s="4" t="n"/>
      <c r="H180" s="7">
        <f>IF(A180="","",SUMIFS(Платежи!$C:$C,Платежи!$B:$B,A180))</f>
        <v/>
      </c>
      <c r="I180" s="7">
        <f>IF(A180="","",MAX(0,D180-H180))</f>
        <v/>
      </c>
      <c r="J180" s="10">
        <f>IF(OR(A180="",D180=0),"",H180/D180)</f>
        <v/>
      </c>
    </row>
    <row r="181">
      <c r="D181" s="7" t="n"/>
      <c r="E181" s="17" t="n"/>
      <c r="F181" s="7" t="n"/>
      <c r="G181" s="4" t="n"/>
      <c r="H181" s="7">
        <f>IF(A181="","",SUMIFS(Платежи!$C:$C,Платежи!$B:$B,A181))</f>
        <v/>
      </c>
      <c r="I181" s="7">
        <f>IF(A181="","",MAX(0,D181-H181))</f>
        <v/>
      </c>
      <c r="J181" s="10">
        <f>IF(OR(A181="",D181=0),"",H181/D181)</f>
        <v/>
      </c>
    </row>
    <row r="182">
      <c r="D182" s="7" t="n"/>
      <c r="E182" s="17" t="n"/>
      <c r="F182" s="7" t="n"/>
      <c r="G182" s="4" t="n"/>
      <c r="H182" s="7">
        <f>IF(A182="","",SUMIFS(Платежи!$C:$C,Платежи!$B:$B,A182))</f>
        <v/>
      </c>
      <c r="I182" s="7">
        <f>IF(A182="","",MAX(0,D182-H182))</f>
        <v/>
      </c>
      <c r="J182" s="10">
        <f>IF(OR(A182="",D182=0),"",H182/D182)</f>
        <v/>
      </c>
    </row>
    <row r="183">
      <c r="D183" s="7" t="n"/>
      <c r="E183" s="17" t="n"/>
      <c r="F183" s="7" t="n"/>
      <c r="G183" s="4" t="n"/>
      <c r="H183" s="7">
        <f>IF(A183="","",SUMIFS(Платежи!$C:$C,Платежи!$B:$B,A183))</f>
        <v/>
      </c>
      <c r="I183" s="7">
        <f>IF(A183="","",MAX(0,D183-H183))</f>
        <v/>
      </c>
      <c r="J183" s="10">
        <f>IF(OR(A183="",D183=0),"",H183/D183)</f>
        <v/>
      </c>
    </row>
    <row r="184">
      <c r="D184" s="7" t="n"/>
      <c r="E184" s="17" t="n"/>
      <c r="F184" s="7" t="n"/>
      <c r="G184" s="4" t="n"/>
      <c r="H184" s="7">
        <f>IF(A184="","",SUMIFS(Платежи!$C:$C,Платежи!$B:$B,A184))</f>
        <v/>
      </c>
      <c r="I184" s="7">
        <f>IF(A184="","",MAX(0,D184-H184))</f>
        <v/>
      </c>
      <c r="J184" s="10">
        <f>IF(OR(A184="",D184=0),"",H184/D184)</f>
        <v/>
      </c>
    </row>
    <row r="185">
      <c r="D185" s="7" t="n"/>
      <c r="E185" s="17" t="n"/>
      <c r="F185" s="7" t="n"/>
      <c r="G185" s="4" t="n"/>
      <c r="H185" s="7">
        <f>IF(A185="","",SUMIFS(Платежи!$C:$C,Платежи!$B:$B,A185))</f>
        <v/>
      </c>
      <c r="I185" s="7">
        <f>IF(A185="","",MAX(0,D185-H185))</f>
        <v/>
      </c>
      <c r="J185" s="10">
        <f>IF(OR(A185="",D185=0),"",H185/D185)</f>
        <v/>
      </c>
    </row>
    <row r="186">
      <c r="D186" s="7" t="n"/>
      <c r="E186" s="17" t="n"/>
      <c r="F186" s="7" t="n"/>
      <c r="G186" s="4" t="n"/>
      <c r="H186" s="7">
        <f>IF(A186="","",SUMIFS(Платежи!$C:$C,Платежи!$B:$B,A186))</f>
        <v/>
      </c>
      <c r="I186" s="7">
        <f>IF(A186="","",MAX(0,D186-H186))</f>
        <v/>
      </c>
      <c r="J186" s="10">
        <f>IF(OR(A186="",D186=0),"",H186/D186)</f>
        <v/>
      </c>
    </row>
    <row r="187">
      <c r="D187" s="7" t="n"/>
      <c r="E187" s="17" t="n"/>
      <c r="F187" s="7" t="n"/>
      <c r="G187" s="4" t="n"/>
      <c r="H187" s="7">
        <f>IF(A187="","",SUMIFS(Платежи!$C:$C,Платежи!$B:$B,A187))</f>
        <v/>
      </c>
      <c r="I187" s="7">
        <f>IF(A187="","",MAX(0,D187-H187))</f>
        <v/>
      </c>
      <c r="J187" s="10">
        <f>IF(OR(A187="",D187=0),"",H187/D187)</f>
        <v/>
      </c>
    </row>
    <row r="188">
      <c r="D188" s="7" t="n"/>
      <c r="E188" s="17" t="n"/>
      <c r="F188" s="7" t="n"/>
      <c r="G188" s="4" t="n"/>
      <c r="H188" s="7">
        <f>IF(A188="","",SUMIFS(Платежи!$C:$C,Платежи!$B:$B,A188))</f>
        <v/>
      </c>
      <c r="I188" s="7">
        <f>IF(A188="","",MAX(0,D188-H188))</f>
        <v/>
      </c>
      <c r="J188" s="10">
        <f>IF(OR(A188="",D188=0),"",H188/D188)</f>
        <v/>
      </c>
    </row>
    <row r="189">
      <c r="D189" s="7" t="n"/>
      <c r="E189" s="17" t="n"/>
      <c r="F189" s="7" t="n"/>
      <c r="G189" s="4" t="n"/>
      <c r="H189" s="7">
        <f>IF(A189="","",SUMIFS(Платежи!$C:$C,Платежи!$B:$B,A189))</f>
        <v/>
      </c>
      <c r="I189" s="7">
        <f>IF(A189="","",MAX(0,D189-H189))</f>
        <v/>
      </c>
      <c r="J189" s="10">
        <f>IF(OR(A189="",D189=0),"",H189/D189)</f>
        <v/>
      </c>
    </row>
    <row r="190">
      <c r="D190" s="7" t="n"/>
      <c r="E190" s="17" t="n"/>
      <c r="F190" s="7" t="n"/>
      <c r="G190" s="4" t="n"/>
      <c r="H190" s="7">
        <f>IF(A190="","",SUMIFS(Платежи!$C:$C,Платежи!$B:$B,A190))</f>
        <v/>
      </c>
      <c r="I190" s="7">
        <f>IF(A190="","",MAX(0,D190-H190))</f>
        <v/>
      </c>
      <c r="J190" s="10">
        <f>IF(OR(A190="",D190=0),"",H190/D190)</f>
        <v/>
      </c>
    </row>
    <row r="191">
      <c r="D191" s="7" t="n"/>
      <c r="E191" s="17" t="n"/>
      <c r="F191" s="7" t="n"/>
      <c r="G191" s="4" t="n"/>
      <c r="H191" s="7">
        <f>IF(A191="","",SUMIFS(Платежи!$C:$C,Платежи!$B:$B,A191))</f>
        <v/>
      </c>
      <c r="I191" s="7">
        <f>IF(A191="","",MAX(0,D191-H191))</f>
        <v/>
      </c>
      <c r="J191" s="10">
        <f>IF(OR(A191="",D191=0),"",H191/D191)</f>
        <v/>
      </c>
    </row>
    <row r="192">
      <c r="D192" s="7" t="n"/>
      <c r="E192" s="17" t="n"/>
      <c r="F192" s="7" t="n"/>
      <c r="G192" s="4" t="n"/>
      <c r="H192" s="7">
        <f>IF(A192="","",SUMIFS(Платежи!$C:$C,Платежи!$B:$B,A192))</f>
        <v/>
      </c>
      <c r="I192" s="7">
        <f>IF(A192="","",MAX(0,D192-H192))</f>
        <v/>
      </c>
      <c r="J192" s="10">
        <f>IF(OR(A192="",D192=0),"",H192/D192)</f>
        <v/>
      </c>
    </row>
    <row r="193">
      <c r="D193" s="7" t="n"/>
      <c r="E193" s="17" t="n"/>
      <c r="F193" s="7" t="n"/>
      <c r="G193" s="4" t="n"/>
      <c r="H193" s="7">
        <f>IF(A193="","",SUMIFS(Платежи!$C:$C,Платежи!$B:$B,A193))</f>
        <v/>
      </c>
      <c r="I193" s="7">
        <f>IF(A193="","",MAX(0,D193-H193))</f>
        <v/>
      </c>
      <c r="J193" s="10">
        <f>IF(OR(A193="",D193=0),"",H193/D193)</f>
        <v/>
      </c>
    </row>
    <row r="194">
      <c r="D194" s="7" t="n"/>
      <c r="E194" s="17" t="n"/>
      <c r="F194" s="7" t="n"/>
      <c r="G194" s="4" t="n"/>
      <c r="H194" s="7">
        <f>IF(A194="","",SUMIFS(Платежи!$C:$C,Платежи!$B:$B,A194))</f>
        <v/>
      </c>
      <c r="I194" s="7">
        <f>IF(A194="","",MAX(0,D194-H194))</f>
        <v/>
      </c>
      <c r="J194" s="10">
        <f>IF(OR(A194="",D194=0),"",H194/D194)</f>
        <v/>
      </c>
    </row>
    <row r="195">
      <c r="D195" s="7" t="n"/>
      <c r="E195" s="17" t="n"/>
      <c r="F195" s="7" t="n"/>
      <c r="G195" s="4" t="n"/>
      <c r="H195" s="7">
        <f>IF(A195="","",SUMIFS(Платежи!$C:$C,Платежи!$B:$B,A195))</f>
        <v/>
      </c>
      <c r="I195" s="7">
        <f>IF(A195="","",MAX(0,D195-H195))</f>
        <v/>
      </c>
      <c r="J195" s="10">
        <f>IF(OR(A195="",D195=0),"",H195/D195)</f>
        <v/>
      </c>
    </row>
    <row r="196">
      <c r="D196" s="7" t="n"/>
      <c r="E196" s="17" t="n"/>
      <c r="F196" s="7" t="n"/>
      <c r="G196" s="4" t="n"/>
      <c r="H196" s="7">
        <f>IF(A196="","",SUMIFS(Платежи!$C:$C,Платежи!$B:$B,A196))</f>
        <v/>
      </c>
      <c r="I196" s="7">
        <f>IF(A196="","",MAX(0,D196-H196))</f>
        <v/>
      </c>
      <c r="J196" s="10">
        <f>IF(OR(A196="",D196=0),"",H196/D196)</f>
        <v/>
      </c>
    </row>
    <row r="197">
      <c r="D197" s="7" t="n"/>
      <c r="E197" s="17" t="n"/>
      <c r="F197" s="7" t="n"/>
      <c r="G197" s="4" t="n"/>
      <c r="H197" s="7">
        <f>IF(A197="","",SUMIFS(Платежи!$C:$C,Платежи!$B:$B,A197))</f>
        <v/>
      </c>
      <c r="I197" s="7">
        <f>IF(A197="","",MAX(0,D197-H197))</f>
        <v/>
      </c>
      <c r="J197" s="10">
        <f>IF(OR(A197="",D197=0),"",H197/D197)</f>
        <v/>
      </c>
    </row>
    <row r="198">
      <c r="D198" s="7" t="n"/>
      <c r="E198" s="17" t="n"/>
      <c r="F198" s="7" t="n"/>
      <c r="G198" s="4" t="n"/>
      <c r="H198" s="7">
        <f>IF(A198="","",SUMIFS(Платежи!$C:$C,Платежи!$B:$B,A198))</f>
        <v/>
      </c>
      <c r="I198" s="7">
        <f>IF(A198="","",MAX(0,D198-H198))</f>
        <v/>
      </c>
      <c r="J198" s="10">
        <f>IF(OR(A198="",D198=0),"",H198/D198)</f>
        <v/>
      </c>
    </row>
    <row r="199">
      <c r="D199" s="7" t="n"/>
      <c r="E199" s="17" t="n"/>
      <c r="F199" s="7" t="n"/>
      <c r="G199" s="4" t="n"/>
      <c r="H199" s="7">
        <f>IF(A199="","",SUMIFS(Платежи!$C:$C,Платежи!$B:$B,A199))</f>
        <v/>
      </c>
      <c r="I199" s="7">
        <f>IF(A199="","",MAX(0,D199-H199))</f>
        <v/>
      </c>
      <c r="J199" s="10">
        <f>IF(OR(A199="",D199=0),"",H199/D199)</f>
        <v/>
      </c>
    </row>
    <row r="200">
      <c r="D200" s="7" t="n"/>
      <c r="E200" s="17" t="n"/>
      <c r="F200" s="7" t="n"/>
      <c r="G200" s="4" t="n"/>
      <c r="H200" s="7">
        <f>IF(A200="","",SUMIFS(Платежи!$C:$C,Платежи!$B:$B,A200))</f>
        <v/>
      </c>
      <c r="I200" s="7">
        <f>IF(A200="","",MAX(0,D200-H200))</f>
        <v/>
      </c>
      <c r="J200" s="10">
        <f>IF(OR(A200="",D200=0),"",H200/D200)</f>
        <v/>
      </c>
    </row>
    <row r="201">
      <c r="D201" s="7" t="n"/>
      <c r="E201" s="17" t="n"/>
      <c r="F201" s="7" t="n"/>
      <c r="G201" s="4" t="n"/>
      <c r="H201" s="7">
        <f>IF(A201="","",SUMIFS(Платежи!$C:$C,Платежи!$B:$B,A201))</f>
        <v/>
      </c>
      <c r="I201" s="7">
        <f>IF(A201="","",MAX(0,D201-H201))</f>
        <v/>
      </c>
      <c r="J201" s="10">
        <f>IF(OR(A201="",D201=0),"",H201/D201)</f>
        <v/>
      </c>
    </row>
    <row r="202">
      <c r="D202" s="7" t="n"/>
      <c r="E202" s="17" t="n"/>
      <c r="F202" s="7" t="n"/>
      <c r="G202" s="4" t="n"/>
      <c r="H202" s="7">
        <f>IF(A202="","",SUMIFS(Платежи!$C:$C,Платежи!$B:$B,A202))</f>
        <v/>
      </c>
      <c r="I202" s="7">
        <f>IF(A202="","",MAX(0,D202-H202))</f>
        <v/>
      </c>
      <c r="J202" s="10">
        <f>IF(OR(A202="",D202=0),"",H202/D202)</f>
        <v/>
      </c>
    </row>
    <row r="203">
      <c r="D203" s="7" t="n"/>
      <c r="E203" s="17" t="n"/>
      <c r="F203" s="7" t="n"/>
      <c r="G203" s="4" t="n"/>
      <c r="H203" s="7">
        <f>IF(A203="","",SUMIFS(Платежи!$C:$C,Платежи!$B:$B,A203))</f>
        <v/>
      </c>
      <c r="I203" s="7">
        <f>IF(A203="","",MAX(0,D203-H203))</f>
        <v/>
      </c>
      <c r="J203" s="10">
        <f>IF(OR(A203="",D203=0),"",H203/D203)</f>
        <v/>
      </c>
    </row>
    <row r="204">
      <c r="D204" s="7" t="n"/>
      <c r="E204" s="17" t="n"/>
      <c r="F204" s="7" t="n"/>
      <c r="G204" s="4" t="n"/>
      <c r="H204" s="7">
        <f>IF(A204="","",SUMIFS(Платежи!$C:$C,Платежи!$B:$B,A204))</f>
        <v/>
      </c>
      <c r="I204" s="7">
        <f>IF(A204="","",MAX(0,D204-H204))</f>
        <v/>
      </c>
      <c r="J204" s="10">
        <f>IF(OR(A204="",D204=0),"",H204/D204)</f>
        <v/>
      </c>
    </row>
    <row r="205">
      <c r="D205" s="7" t="n"/>
      <c r="E205" s="17" t="n"/>
      <c r="F205" s="7" t="n"/>
      <c r="G205" s="4" t="n"/>
      <c r="H205" s="7">
        <f>IF(A205="","",SUMIFS(Платежи!$C:$C,Платежи!$B:$B,A205))</f>
        <v/>
      </c>
      <c r="I205" s="7">
        <f>IF(A205="","",MAX(0,D205-H205))</f>
        <v/>
      </c>
      <c r="J205" s="10">
        <f>IF(OR(A205="",D205=0),"",H205/D205)</f>
        <v/>
      </c>
    </row>
    <row r="206">
      <c r="D206" s="7" t="n"/>
      <c r="E206" s="17" t="n"/>
      <c r="F206" s="7" t="n"/>
      <c r="G206" s="4" t="n"/>
      <c r="H206" s="7">
        <f>IF(A206="","",SUMIFS(Платежи!$C:$C,Платежи!$B:$B,A206))</f>
        <v/>
      </c>
      <c r="I206" s="7">
        <f>IF(A206="","",MAX(0,D206-H206))</f>
        <v/>
      </c>
      <c r="J206" s="10">
        <f>IF(OR(A206="",D206=0),"",H206/D206)</f>
        <v/>
      </c>
    </row>
    <row r="207">
      <c r="D207" s="7" t="n"/>
      <c r="E207" s="17" t="n"/>
      <c r="F207" s="7" t="n"/>
      <c r="G207" s="4" t="n"/>
      <c r="H207" s="7">
        <f>IF(A207="","",SUMIFS(Платежи!$C:$C,Платежи!$B:$B,A207))</f>
        <v/>
      </c>
      <c r="I207" s="7">
        <f>IF(A207="","",MAX(0,D207-H207))</f>
        <v/>
      </c>
      <c r="J207" s="10">
        <f>IF(OR(A207="",D207=0),"",H207/D207)</f>
        <v/>
      </c>
    </row>
    <row r="208">
      <c r="D208" s="7" t="n"/>
      <c r="E208" s="17" t="n"/>
      <c r="F208" s="7" t="n"/>
      <c r="G208" s="4" t="n"/>
      <c r="H208" s="7">
        <f>IF(A208="","",SUMIFS(Платежи!$C:$C,Платежи!$B:$B,A208))</f>
        <v/>
      </c>
      <c r="I208" s="7">
        <f>IF(A208="","",MAX(0,D208-H208))</f>
        <v/>
      </c>
      <c r="J208" s="10">
        <f>IF(OR(A208="",D208=0),"",H208/D208)</f>
        <v/>
      </c>
    </row>
    <row r="209">
      <c r="D209" s="7" t="n"/>
      <c r="E209" s="17" t="n"/>
      <c r="F209" s="7" t="n"/>
      <c r="G209" s="4" t="n"/>
      <c r="H209" s="7">
        <f>IF(A209="","",SUMIFS(Платежи!$C:$C,Платежи!$B:$B,A209))</f>
        <v/>
      </c>
      <c r="I209" s="7">
        <f>IF(A209="","",MAX(0,D209-H209))</f>
        <v/>
      </c>
      <c r="J209" s="10">
        <f>IF(OR(A209="",D209=0),"",H209/D209)</f>
        <v/>
      </c>
    </row>
    <row r="210">
      <c r="D210" s="7" t="n"/>
      <c r="E210" s="17" t="n"/>
      <c r="F210" s="7" t="n"/>
      <c r="G210" s="4" t="n"/>
      <c r="H210" s="7">
        <f>IF(A210="","",SUMIFS(Платежи!$C:$C,Платежи!$B:$B,A210))</f>
        <v/>
      </c>
      <c r="I210" s="7">
        <f>IF(A210="","",MAX(0,D210-H210))</f>
        <v/>
      </c>
      <c r="J210" s="10">
        <f>IF(OR(A210="",D210=0),"",H210/D210)</f>
        <v/>
      </c>
    </row>
    <row r="211">
      <c r="D211" s="7" t="n"/>
      <c r="E211" s="17" t="n"/>
      <c r="F211" s="7" t="n"/>
      <c r="G211" s="4" t="n"/>
      <c r="H211" s="7">
        <f>IF(A211="","",SUMIFS(Платежи!$C:$C,Платежи!$B:$B,A211))</f>
        <v/>
      </c>
      <c r="I211" s="7">
        <f>IF(A211="","",MAX(0,D211-H211))</f>
        <v/>
      </c>
      <c r="J211" s="10">
        <f>IF(OR(A211="",D211=0),"",H211/D211)</f>
        <v/>
      </c>
    </row>
    <row r="212">
      <c r="D212" s="7" t="n"/>
      <c r="E212" s="17" t="n"/>
      <c r="F212" s="7" t="n"/>
      <c r="G212" s="4" t="n"/>
      <c r="H212" s="7">
        <f>IF(A212="","",SUMIFS(Платежи!$C:$C,Платежи!$B:$B,A212))</f>
        <v/>
      </c>
      <c r="I212" s="7">
        <f>IF(A212="","",MAX(0,D212-H212))</f>
        <v/>
      </c>
      <c r="J212" s="10">
        <f>IF(OR(A212="",D212=0),"",H212/D212)</f>
        <v/>
      </c>
    </row>
    <row r="213">
      <c r="D213" s="7" t="n"/>
      <c r="E213" s="17" t="n"/>
      <c r="F213" s="7" t="n"/>
      <c r="G213" s="4" t="n"/>
      <c r="H213" s="7">
        <f>IF(A213="","",SUMIFS(Платежи!$C:$C,Платежи!$B:$B,A213))</f>
        <v/>
      </c>
      <c r="I213" s="7">
        <f>IF(A213="","",MAX(0,D213-H213))</f>
        <v/>
      </c>
      <c r="J213" s="10">
        <f>IF(OR(A213="",D213=0),"",H213/D213)</f>
        <v/>
      </c>
    </row>
    <row r="214">
      <c r="D214" s="7" t="n"/>
      <c r="E214" s="17" t="n"/>
      <c r="F214" s="7" t="n"/>
      <c r="G214" s="4" t="n"/>
      <c r="H214" s="7">
        <f>IF(A214="","",SUMIFS(Платежи!$C:$C,Платежи!$B:$B,A214))</f>
        <v/>
      </c>
      <c r="I214" s="7">
        <f>IF(A214="","",MAX(0,D214-H214))</f>
        <v/>
      </c>
      <c r="J214" s="10">
        <f>IF(OR(A214="",D214=0),"",H214/D214)</f>
        <v/>
      </c>
    </row>
    <row r="215">
      <c r="D215" s="7" t="n"/>
      <c r="E215" s="17" t="n"/>
      <c r="F215" s="7" t="n"/>
      <c r="G215" s="4" t="n"/>
      <c r="H215" s="7">
        <f>IF(A215="","",SUMIFS(Платежи!$C:$C,Платежи!$B:$B,A215))</f>
        <v/>
      </c>
      <c r="I215" s="7">
        <f>IF(A215="","",MAX(0,D215-H215))</f>
        <v/>
      </c>
      <c r="J215" s="10">
        <f>IF(OR(A215="",D215=0),"",H215/D215)</f>
        <v/>
      </c>
    </row>
    <row r="216">
      <c r="D216" s="7" t="n"/>
      <c r="E216" s="17" t="n"/>
      <c r="F216" s="7" t="n"/>
      <c r="G216" s="4" t="n"/>
      <c r="H216" s="7">
        <f>IF(A216="","",SUMIFS(Платежи!$C:$C,Платежи!$B:$B,A216))</f>
        <v/>
      </c>
      <c r="I216" s="7">
        <f>IF(A216="","",MAX(0,D216-H216))</f>
        <v/>
      </c>
      <c r="J216" s="10">
        <f>IF(OR(A216="",D216=0),"",H216/D216)</f>
        <v/>
      </c>
    </row>
    <row r="217">
      <c r="D217" s="7" t="n"/>
      <c r="E217" s="17" t="n"/>
      <c r="F217" s="7" t="n"/>
      <c r="G217" s="4" t="n"/>
      <c r="H217" s="7">
        <f>IF(A217="","",SUMIFS(Платежи!$C:$C,Платежи!$B:$B,A217))</f>
        <v/>
      </c>
      <c r="I217" s="7">
        <f>IF(A217="","",MAX(0,D217-H217))</f>
        <v/>
      </c>
      <c r="J217" s="10">
        <f>IF(OR(A217="",D217=0),"",H217/D217)</f>
        <v/>
      </c>
    </row>
    <row r="218">
      <c r="D218" s="7" t="n"/>
      <c r="E218" s="17" t="n"/>
      <c r="F218" s="7" t="n"/>
      <c r="G218" s="4" t="n"/>
      <c r="H218" s="7">
        <f>IF(A218="","",SUMIFS(Платежи!$C:$C,Платежи!$B:$B,A218))</f>
        <v/>
      </c>
      <c r="I218" s="7">
        <f>IF(A218="","",MAX(0,D218-H218))</f>
        <v/>
      </c>
      <c r="J218" s="10">
        <f>IF(OR(A218="",D218=0),"",H218/D218)</f>
        <v/>
      </c>
    </row>
    <row r="219">
      <c r="D219" s="7" t="n"/>
      <c r="E219" s="17" t="n"/>
      <c r="F219" s="7" t="n"/>
      <c r="G219" s="4" t="n"/>
      <c r="H219" s="7">
        <f>IF(A219="","",SUMIFS(Платежи!$C:$C,Платежи!$B:$B,A219))</f>
        <v/>
      </c>
      <c r="I219" s="7">
        <f>IF(A219="","",MAX(0,D219-H219))</f>
        <v/>
      </c>
      <c r="J219" s="10">
        <f>IF(OR(A219="",D219=0),"",H219/D219)</f>
        <v/>
      </c>
    </row>
    <row r="220">
      <c r="D220" s="7" t="n"/>
      <c r="E220" s="17" t="n"/>
      <c r="F220" s="7" t="n"/>
      <c r="G220" s="4" t="n"/>
      <c r="H220" s="7">
        <f>IF(A220="","",SUMIFS(Платежи!$C:$C,Платежи!$B:$B,A220))</f>
        <v/>
      </c>
      <c r="I220" s="7">
        <f>IF(A220="","",MAX(0,D220-H220))</f>
        <v/>
      </c>
      <c r="J220" s="10">
        <f>IF(OR(A220="",D220=0),"",H220/D220)</f>
        <v/>
      </c>
    </row>
    <row r="221">
      <c r="D221" s="7" t="n"/>
      <c r="E221" s="17" t="n"/>
      <c r="F221" s="7" t="n"/>
      <c r="G221" s="4" t="n"/>
      <c r="H221" s="7">
        <f>IF(A221="","",SUMIFS(Платежи!$C:$C,Платежи!$B:$B,A221))</f>
        <v/>
      </c>
      <c r="I221" s="7">
        <f>IF(A221="","",MAX(0,D221-H221))</f>
        <v/>
      </c>
      <c r="J221" s="10">
        <f>IF(OR(A221="",D221=0),"",H221/D221)</f>
        <v/>
      </c>
    </row>
    <row r="222">
      <c r="D222" s="7" t="n"/>
      <c r="E222" s="17" t="n"/>
      <c r="F222" s="7" t="n"/>
      <c r="G222" s="4" t="n"/>
      <c r="H222" s="7">
        <f>IF(A222="","",SUMIFS(Платежи!$C:$C,Платежи!$B:$B,A222))</f>
        <v/>
      </c>
      <c r="I222" s="7">
        <f>IF(A222="","",MAX(0,D222-H222))</f>
        <v/>
      </c>
      <c r="J222" s="10">
        <f>IF(OR(A222="",D222=0),"",H222/D222)</f>
        <v/>
      </c>
    </row>
    <row r="223">
      <c r="D223" s="7" t="n"/>
      <c r="E223" s="17" t="n"/>
      <c r="F223" s="7" t="n"/>
      <c r="G223" s="4" t="n"/>
      <c r="H223" s="7">
        <f>IF(A223="","",SUMIFS(Платежи!$C:$C,Платежи!$B:$B,A223))</f>
        <v/>
      </c>
      <c r="I223" s="7">
        <f>IF(A223="","",MAX(0,D223-H223))</f>
        <v/>
      </c>
      <c r="J223" s="10">
        <f>IF(OR(A223="",D223=0),"",H223/D223)</f>
        <v/>
      </c>
    </row>
    <row r="224">
      <c r="D224" s="7" t="n"/>
      <c r="E224" s="17" t="n"/>
      <c r="F224" s="7" t="n"/>
      <c r="G224" s="4" t="n"/>
      <c r="H224" s="7">
        <f>IF(A224="","",SUMIFS(Платежи!$C:$C,Платежи!$B:$B,A224))</f>
        <v/>
      </c>
      <c r="I224" s="7">
        <f>IF(A224="","",MAX(0,D224-H224))</f>
        <v/>
      </c>
      <c r="J224" s="10">
        <f>IF(OR(A224="",D224=0),"",H224/D224)</f>
        <v/>
      </c>
    </row>
    <row r="225">
      <c r="D225" s="7" t="n"/>
      <c r="E225" s="17" t="n"/>
      <c r="F225" s="7" t="n"/>
      <c r="G225" s="4" t="n"/>
      <c r="H225" s="7">
        <f>IF(A225="","",SUMIFS(Платежи!$C:$C,Платежи!$B:$B,A225))</f>
        <v/>
      </c>
      <c r="I225" s="7">
        <f>IF(A225="","",MAX(0,D225-H225))</f>
        <v/>
      </c>
      <c r="J225" s="10">
        <f>IF(OR(A225="",D225=0),"",H225/D225)</f>
        <v/>
      </c>
    </row>
    <row r="226">
      <c r="D226" s="7" t="n"/>
      <c r="E226" s="17" t="n"/>
      <c r="F226" s="7" t="n"/>
      <c r="G226" s="4" t="n"/>
      <c r="H226" s="7">
        <f>IF(A226="","",SUMIFS(Платежи!$C:$C,Платежи!$B:$B,A226))</f>
        <v/>
      </c>
      <c r="I226" s="7">
        <f>IF(A226="","",MAX(0,D226-H226))</f>
        <v/>
      </c>
      <c r="J226" s="10">
        <f>IF(OR(A226="",D226=0),"",H226/D226)</f>
        <v/>
      </c>
    </row>
    <row r="227">
      <c r="D227" s="7" t="n"/>
      <c r="E227" s="17" t="n"/>
      <c r="F227" s="7" t="n"/>
      <c r="G227" s="4" t="n"/>
      <c r="H227" s="7">
        <f>IF(A227="","",SUMIFS(Платежи!$C:$C,Платежи!$B:$B,A227))</f>
        <v/>
      </c>
      <c r="I227" s="7">
        <f>IF(A227="","",MAX(0,D227-H227))</f>
        <v/>
      </c>
      <c r="J227" s="10">
        <f>IF(OR(A227="",D227=0),"",H227/D227)</f>
        <v/>
      </c>
    </row>
    <row r="228">
      <c r="D228" s="7" t="n"/>
      <c r="E228" s="17" t="n"/>
      <c r="F228" s="7" t="n"/>
      <c r="G228" s="4" t="n"/>
      <c r="H228" s="7">
        <f>IF(A228="","",SUMIFS(Платежи!$C:$C,Платежи!$B:$B,A228))</f>
        <v/>
      </c>
      <c r="I228" s="7">
        <f>IF(A228="","",MAX(0,D228-H228))</f>
        <v/>
      </c>
      <c r="J228" s="10">
        <f>IF(OR(A228="",D228=0),"",H228/D228)</f>
        <v/>
      </c>
    </row>
    <row r="229">
      <c r="D229" s="7" t="n"/>
      <c r="E229" s="17" t="n"/>
      <c r="F229" s="7" t="n"/>
      <c r="G229" s="4" t="n"/>
      <c r="H229" s="7">
        <f>IF(A229="","",SUMIFS(Платежи!$C:$C,Платежи!$B:$B,A229))</f>
        <v/>
      </c>
      <c r="I229" s="7">
        <f>IF(A229="","",MAX(0,D229-H229))</f>
        <v/>
      </c>
      <c r="J229" s="10">
        <f>IF(OR(A229="",D229=0),"",H229/D229)</f>
        <v/>
      </c>
    </row>
    <row r="230">
      <c r="D230" s="7" t="n"/>
      <c r="E230" s="17" t="n"/>
      <c r="F230" s="7" t="n"/>
      <c r="G230" s="4" t="n"/>
      <c r="H230" s="7">
        <f>IF(A230="","",SUMIFS(Платежи!$C:$C,Платежи!$B:$B,A230))</f>
        <v/>
      </c>
      <c r="I230" s="7">
        <f>IF(A230="","",MAX(0,D230-H230))</f>
        <v/>
      </c>
      <c r="J230" s="10">
        <f>IF(OR(A230="",D230=0),"",H230/D230)</f>
        <v/>
      </c>
    </row>
    <row r="231">
      <c r="D231" s="7" t="n"/>
      <c r="E231" s="17" t="n"/>
      <c r="F231" s="7" t="n"/>
      <c r="G231" s="4" t="n"/>
      <c r="H231" s="7">
        <f>IF(A231="","",SUMIFS(Платежи!$C:$C,Платежи!$B:$B,A231))</f>
        <v/>
      </c>
      <c r="I231" s="7">
        <f>IF(A231="","",MAX(0,D231-H231))</f>
        <v/>
      </c>
      <c r="J231" s="10">
        <f>IF(OR(A231="",D231=0),"",H231/D231)</f>
        <v/>
      </c>
    </row>
    <row r="232">
      <c r="D232" s="7" t="n"/>
      <c r="E232" s="17" t="n"/>
      <c r="F232" s="7" t="n"/>
      <c r="G232" s="4" t="n"/>
      <c r="H232" s="7">
        <f>IF(A232="","",SUMIFS(Платежи!$C:$C,Платежи!$B:$B,A232))</f>
        <v/>
      </c>
      <c r="I232" s="7">
        <f>IF(A232="","",MAX(0,D232-H232))</f>
        <v/>
      </c>
      <c r="J232" s="10">
        <f>IF(OR(A232="",D232=0),"",H232/D232)</f>
        <v/>
      </c>
    </row>
    <row r="233">
      <c r="D233" s="7" t="n"/>
      <c r="E233" s="17" t="n"/>
      <c r="F233" s="7" t="n"/>
      <c r="G233" s="4" t="n"/>
      <c r="H233" s="7">
        <f>IF(A233="","",SUMIFS(Платежи!$C:$C,Платежи!$B:$B,A233))</f>
        <v/>
      </c>
      <c r="I233" s="7">
        <f>IF(A233="","",MAX(0,D233-H233))</f>
        <v/>
      </c>
      <c r="J233" s="10">
        <f>IF(OR(A233="",D233=0),"",H233/D233)</f>
        <v/>
      </c>
    </row>
    <row r="234">
      <c r="D234" s="7" t="n"/>
      <c r="E234" s="17" t="n"/>
      <c r="F234" s="7" t="n"/>
      <c r="G234" s="4" t="n"/>
      <c r="H234" s="7">
        <f>IF(A234="","",SUMIFS(Платежи!$C:$C,Платежи!$B:$B,A234))</f>
        <v/>
      </c>
      <c r="I234" s="7">
        <f>IF(A234="","",MAX(0,D234-H234))</f>
        <v/>
      </c>
      <c r="J234" s="10">
        <f>IF(OR(A234="",D234=0),"",H234/D234)</f>
        <v/>
      </c>
    </row>
    <row r="235">
      <c r="D235" s="7" t="n"/>
      <c r="E235" s="17" t="n"/>
      <c r="F235" s="7" t="n"/>
      <c r="G235" s="4" t="n"/>
      <c r="H235" s="7">
        <f>IF(A235="","",SUMIFS(Платежи!$C:$C,Платежи!$B:$B,A235))</f>
        <v/>
      </c>
      <c r="I235" s="7">
        <f>IF(A235="","",MAX(0,D235-H235))</f>
        <v/>
      </c>
      <c r="J235" s="10">
        <f>IF(OR(A235="",D235=0),"",H235/D235)</f>
        <v/>
      </c>
    </row>
    <row r="236">
      <c r="D236" s="7" t="n"/>
      <c r="E236" s="17" t="n"/>
      <c r="F236" s="7" t="n"/>
      <c r="G236" s="4" t="n"/>
      <c r="H236" s="7">
        <f>IF(A236="","",SUMIFS(Платежи!$C:$C,Платежи!$B:$B,A236))</f>
        <v/>
      </c>
      <c r="I236" s="7">
        <f>IF(A236="","",MAX(0,D236-H236))</f>
        <v/>
      </c>
      <c r="J236" s="10">
        <f>IF(OR(A236="",D236=0),"",H236/D236)</f>
        <v/>
      </c>
    </row>
    <row r="237">
      <c r="D237" s="7" t="n"/>
      <c r="E237" s="17" t="n"/>
      <c r="F237" s="7" t="n"/>
      <c r="G237" s="4" t="n"/>
      <c r="H237" s="7">
        <f>IF(A237="","",SUMIFS(Платежи!$C:$C,Платежи!$B:$B,A237))</f>
        <v/>
      </c>
      <c r="I237" s="7">
        <f>IF(A237="","",MAX(0,D237-H237))</f>
        <v/>
      </c>
      <c r="J237" s="10">
        <f>IF(OR(A237="",D237=0),"",H237/D237)</f>
        <v/>
      </c>
    </row>
    <row r="238">
      <c r="D238" s="7" t="n"/>
      <c r="E238" s="17" t="n"/>
      <c r="F238" s="7" t="n"/>
      <c r="G238" s="4" t="n"/>
      <c r="H238" s="7">
        <f>IF(A238="","",SUMIFS(Платежи!$C:$C,Платежи!$B:$B,A238))</f>
        <v/>
      </c>
      <c r="I238" s="7">
        <f>IF(A238="","",MAX(0,D238-H238))</f>
        <v/>
      </c>
      <c r="J238" s="10">
        <f>IF(OR(A238="",D238=0),"",H238/D238)</f>
        <v/>
      </c>
    </row>
    <row r="239">
      <c r="D239" s="7" t="n"/>
      <c r="E239" s="17" t="n"/>
      <c r="F239" s="7" t="n"/>
      <c r="G239" s="4" t="n"/>
      <c r="H239" s="7">
        <f>IF(A239="","",SUMIFS(Платежи!$C:$C,Платежи!$B:$B,A239))</f>
        <v/>
      </c>
      <c r="I239" s="7">
        <f>IF(A239="","",MAX(0,D239-H239))</f>
        <v/>
      </c>
      <c r="J239" s="10">
        <f>IF(OR(A239="",D239=0),"",H239/D239)</f>
        <v/>
      </c>
    </row>
    <row r="240">
      <c r="D240" s="7" t="n"/>
      <c r="E240" s="17" t="n"/>
      <c r="F240" s="7" t="n"/>
      <c r="G240" s="4" t="n"/>
      <c r="H240" s="7">
        <f>IF(A240="","",SUMIFS(Платежи!$C:$C,Платежи!$B:$B,A240))</f>
        <v/>
      </c>
      <c r="I240" s="7">
        <f>IF(A240="","",MAX(0,D240-H240))</f>
        <v/>
      </c>
      <c r="J240" s="10">
        <f>IF(OR(A240="",D240=0),"",H240/D240)</f>
        <v/>
      </c>
    </row>
    <row r="241">
      <c r="D241" s="7" t="n"/>
      <c r="E241" s="17" t="n"/>
      <c r="F241" s="7" t="n"/>
      <c r="G241" s="4" t="n"/>
      <c r="H241" s="7">
        <f>IF(A241="","",SUMIFS(Платежи!$C:$C,Платежи!$B:$B,A241))</f>
        <v/>
      </c>
      <c r="I241" s="7">
        <f>IF(A241="","",MAX(0,D241-H241))</f>
        <v/>
      </c>
      <c r="J241" s="10">
        <f>IF(OR(A241="",D241=0),"",H241/D241)</f>
        <v/>
      </c>
    </row>
    <row r="242">
      <c r="D242" s="7" t="n"/>
      <c r="E242" s="17" t="n"/>
      <c r="F242" s="7" t="n"/>
      <c r="G242" s="4" t="n"/>
      <c r="H242" s="7">
        <f>IF(A242="","",SUMIFS(Платежи!$C:$C,Платежи!$B:$B,A242))</f>
        <v/>
      </c>
      <c r="I242" s="7">
        <f>IF(A242="","",MAX(0,D242-H242))</f>
        <v/>
      </c>
      <c r="J242" s="10">
        <f>IF(OR(A242="",D242=0),"",H242/D242)</f>
        <v/>
      </c>
    </row>
    <row r="243">
      <c r="D243" s="7" t="n"/>
      <c r="E243" s="17" t="n"/>
      <c r="F243" s="7" t="n"/>
      <c r="G243" s="4" t="n"/>
      <c r="H243" s="7">
        <f>IF(A243="","",SUMIFS(Платежи!$C:$C,Платежи!$B:$B,A243))</f>
        <v/>
      </c>
      <c r="I243" s="7">
        <f>IF(A243="","",MAX(0,D243-H243))</f>
        <v/>
      </c>
      <c r="J243" s="10">
        <f>IF(OR(A243="",D243=0),"",H243/D243)</f>
        <v/>
      </c>
    </row>
    <row r="244">
      <c r="D244" s="7" t="n"/>
      <c r="E244" s="17" t="n"/>
      <c r="F244" s="7" t="n"/>
      <c r="G244" s="4" t="n"/>
      <c r="H244" s="7">
        <f>IF(A244="","",SUMIFS(Платежи!$C:$C,Платежи!$B:$B,A244))</f>
        <v/>
      </c>
      <c r="I244" s="7">
        <f>IF(A244="","",MAX(0,D244-H244))</f>
        <v/>
      </c>
      <c r="J244" s="10">
        <f>IF(OR(A244="",D244=0),"",H244/D244)</f>
        <v/>
      </c>
    </row>
    <row r="245">
      <c r="D245" s="7" t="n"/>
      <c r="E245" s="17" t="n"/>
      <c r="F245" s="7" t="n"/>
      <c r="G245" s="4" t="n"/>
      <c r="H245" s="7">
        <f>IF(A245="","",SUMIFS(Платежи!$C:$C,Платежи!$B:$B,A245))</f>
        <v/>
      </c>
      <c r="I245" s="7">
        <f>IF(A245="","",MAX(0,D245-H245))</f>
        <v/>
      </c>
      <c r="J245" s="10">
        <f>IF(OR(A245="",D245=0),"",H245/D245)</f>
        <v/>
      </c>
    </row>
    <row r="246">
      <c r="D246" s="7" t="n"/>
      <c r="E246" s="17" t="n"/>
      <c r="F246" s="7" t="n"/>
      <c r="G246" s="4" t="n"/>
      <c r="H246" s="7">
        <f>IF(A246="","",SUMIFS(Платежи!$C:$C,Платежи!$B:$B,A246))</f>
        <v/>
      </c>
      <c r="I246" s="7">
        <f>IF(A246="","",MAX(0,D246-H246))</f>
        <v/>
      </c>
      <c r="J246" s="10">
        <f>IF(OR(A246="",D246=0),"",H246/D246)</f>
        <v/>
      </c>
    </row>
    <row r="247">
      <c r="D247" s="7" t="n"/>
      <c r="E247" s="17" t="n"/>
      <c r="F247" s="7" t="n"/>
      <c r="G247" s="4" t="n"/>
      <c r="H247" s="7">
        <f>IF(A247="","",SUMIFS(Платежи!$C:$C,Платежи!$B:$B,A247))</f>
        <v/>
      </c>
      <c r="I247" s="7">
        <f>IF(A247="","",MAX(0,D247-H247))</f>
        <v/>
      </c>
      <c r="J247" s="10">
        <f>IF(OR(A247="",D247=0),"",H247/D247)</f>
        <v/>
      </c>
    </row>
    <row r="248">
      <c r="D248" s="7" t="n"/>
      <c r="E248" s="17" t="n"/>
      <c r="F248" s="7" t="n"/>
      <c r="G248" s="4" t="n"/>
      <c r="H248" s="7">
        <f>IF(A248="","",SUMIFS(Платежи!$C:$C,Платежи!$B:$B,A248))</f>
        <v/>
      </c>
      <c r="I248" s="7">
        <f>IF(A248="","",MAX(0,D248-H248))</f>
        <v/>
      </c>
      <c r="J248" s="10">
        <f>IF(OR(A248="",D248=0),"",H248/D248)</f>
        <v/>
      </c>
    </row>
    <row r="249">
      <c r="D249" s="7" t="n"/>
      <c r="E249" s="17" t="n"/>
      <c r="F249" s="7" t="n"/>
      <c r="G249" s="4" t="n"/>
      <c r="H249" s="7">
        <f>IF(A249="","",SUMIFS(Платежи!$C:$C,Платежи!$B:$B,A249))</f>
        <v/>
      </c>
      <c r="I249" s="7">
        <f>IF(A249="","",MAX(0,D249-H249))</f>
        <v/>
      </c>
      <c r="J249" s="10">
        <f>IF(OR(A249="",D249=0),"",H249/D249)</f>
        <v/>
      </c>
    </row>
    <row r="250">
      <c r="D250" s="7" t="n"/>
      <c r="E250" s="17" t="n"/>
      <c r="F250" s="7" t="n"/>
      <c r="G250" s="4" t="n"/>
      <c r="H250" s="7">
        <f>IF(A250="","",SUMIFS(Платежи!$C:$C,Платежи!$B:$B,A250))</f>
        <v/>
      </c>
      <c r="I250" s="7">
        <f>IF(A250="","",MAX(0,D250-H250))</f>
        <v/>
      </c>
      <c r="J250" s="10">
        <f>IF(OR(A250="",D250=0),"",H250/D250)</f>
        <v/>
      </c>
    </row>
    <row r="251">
      <c r="D251" s="7" t="n"/>
      <c r="E251" s="17" t="n"/>
      <c r="F251" s="7" t="n"/>
      <c r="G251" s="4" t="n"/>
      <c r="H251" s="7">
        <f>IF(A251="","",SUMIFS(Платежи!$C:$C,Платежи!$B:$B,A251))</f>
        <v/>
      </c>
      <c r="I251" s="7">
        <f>IF(A251="","",MAX(0,D251-H251))</f>
        <v/>
      </c>
      <c r="J251" s="10">
        <f>IF(OR(A251="",D251=0),"",H251/D251)</f>
        <v/>
      </c>
    </row>
    <row r="252">
      <c r="D252" s="7" t="n"/>
      <c r="E252" s="17" t="n"/>
      <c r="F252" s="7" t="n"/>
      <c r="G252" s="4" t="n"/>
      <c r="H252" s="7">
        <f>IF(A252="","",SUMIFS(Платежи!$C:$C,Платежи!$B:$B,A252))</f>
        <v/>
      </c>
      <c r="I252" s="7">
        <f>IF(A252="","",MAX(0,D252-H252))</f>
        <v/>
      </c>
      <c r="J252" s="10">
        <f>IF(OR(A252="",D252=0),"",H252/D252)</f>
        <v/>
      </c>
    </row>
    <row r="253">
      <c r="D253" s="7" t="n"/>
      <c r="E253" s="17" t="n"/>
      <c r="F253" s="7" t="n"/>
      <c r="G253" s="4" t="n"/>
      <c r="H253" s="7">
        <f>IF(A253="","",SUMIFS(Платежи!$C:$C,Платежи!$B:$B,A253))</f>
        <v/>
      </c>
      <c r="I253" s="7">
        <f>IF(A253="","",MAX(0,D253-H253))</f>
        <v/>
      </c>
      <c r="J253" s="10">
        <f>IF(OR(A253="",D253=0),"",H253/D253)</f>
        <v/>
      </c>
    </row>
    <row r="254">
      <c r="D254" s="7" t="n"/>
      <c r="E254" s="17" t="n"/>
      <c r="F254" s="7" t="n"/>
      <c r="G254" s="4" t="n"/>
      <c r="H254" s="7">
        <f>IF(A254="","",SUMIFS(Платежи!$C:$C,Платежи!$B:$B,A254))</f>
        <v/>
      </c>
      <c r="I254" s="7">
        <f>IF(A254="","",MAX(0,D254-H254))</f>
        <v/>
      </c>
      <c r="J254" s="10">
        <f>IF(OR(A254="",D254=0),"",H254/D254)</f>
        <v/>
      </c>
    </row>
    <row r="255">
      <c r="D255" s="7" t="n"/>
      <c r="E255" s="17" t="n"/>
      <c r="F255" s="7" t="n"/>
      <c r="G255" s="4" t="n"/>
      <c r="H255" s="7">
        <f>IF(A255="","",SUMIFS(Платежи!$C:$C,Платежи!$B:$B,A255))</f>
        <v/>
      </c>
      <c r="I255" s="7">
        <f>IF(A255="","",MAX(0,D255-H255))</f>
        <v/>
      </c>
      <c r="J255" s="10">
        <f>IF(OR(A255="",D255=0),"",H255/D255)</f>
        <v/>
      </c>
    </row>
    <row r="256">
      <c r="D256" s="7" t="n"/>
      <c r="E256" s="17" t="n"/>
      <c r="F256" s="7" t="n"/>
      <c r="G256" s="4" t="n"/>
      <c r="H256" s="7">
        <f>IF(A256="","",SUMIFS(Платежи!$C:$C,Платежи!$B:$B,A256))</f>
        <v/>
      </c>
      <c r="I256" s="7">
        <f>IF(A256="","",MAX(0,D256-H256))</f>
        <v/>
      </c>
      <c r="J256" s="10">
        <f>IF(OR(A256="",D256=0),"",H256/D256)</f>
        <v/>
      </c>
    </row>
    <row r="257">
      <c r="D257" s="7" t="n"/>
      <c r="E257" s="17" t="n"/>
      <c r="F257" s="7" t="n"/>
      <c r="G257" s="4" t="n"/>
      <c r="H257" s="7">
        <f>IF(A257="","",SUMIFS(Платежи!$C:$C,Платежи!$B:$B,A257))</f>
        <v/>
      </c>
      <c r="I257" s="7">
        <f>IF(A257="","",MAX(0,D257-H257))</f>
        <v/>
      </c>
      <c r="J257" s="10">
        <f>IF(OR(A257="",D257=0),"",H257/D257)</f>
        <v/>
      </c>
    </row>
    <row r="258">
      <c r="D258" s="7" t="n"/>
      <c r="E258" s="17" t="n"/>
      <c r="F258" s="7" t="n"/>
      <c r="G258" s="4" t="n"/>
      <c r="H258" s="7">
        <f>IF(A258="","",SUMIFS(Платежи!$C:$C,Платежи!$B:$B,A258))</f>
        <v/>
      </c>
      <c r="I258" s="7">
        <f>IF(A258="","",MAX(0,D258-H258))</f>
        <v/>
      </c>
      <c r="J258" s="10">
        <f>IF(OR(A258="",D258=0),"",H258/D258)</f>
        <v/>
      </c>
    </row>
    <row r="259">
      <c r="D259" s="7" t="n"/>
      <c r="E259" s="17" t="n"/>
      <c r="F259" s="7" t="n"/>
      <c r="G259" s="4" t="n"/>
      <c r="H259" s="7">
        <f>IF(A259="","",SUMIFS(Платежи!$C:$C,Платежи!$B:$B,A259))</f>
        <v/>
      </c>
      <c r="I259" s="7">
        <f>IF(A259="","",MAX(0,D259-H259))</f>
        <v/>
      </c>
      <c r="J259" s="10">
        <f>IF(OR(A259="",D259=0),"",H259/D259)</f>
        <v/>
      </c>
    </row>
    <row r="260">
      <c r="D260" s="7" t="n"/>
      <c r="E260" s="17" t="n"/>
      <c r="F260" s="7" t="n"/>
      <c r="G260" s="4" t="n"/>
      <c r="H260" s="7">
        <f>IF(A260="","",SUMIFS(Платежи!$C:$C,Платежи!$B:$B,A260))</f>
        <v/>
      </c>
      <c r="I260" s="7">
        <f>IF(A260="","",MAX(0,D260-H260))</f>
        <v/>
      </c>
      <c r="J260" s="10">
        <f>IF(OR(A260="",D260=0),"",H260/D260)</f>
        <v/>
      </c>
    </row>
    <row r="261">
      <c r="D261" s="7" t="n"/>
      <c r="E261" s="17" t="n"/>
      <c r="F261" s="7" t="n"/>
      <c r="G261" s="4" t="n"/>
      <c r="H261" s="7">
        <f>IF(A261="","",SUMIFS(Платежи!$C:$C,Платежи!$B:$B,A261))</f>
        <v/>
      </c>
      <c r="I261" s="7">
        <f>IF(A261="","",MAX(0,D261-H261))</f>
        <v/>
      </c>
      <c r="J261" s="10">
        <f>IF(OR(A261="",D261=0),"",H261/D261)</f>
        <v/>
      </c>
    </row>
    <row r="262">
      <c r="D262" s="7" t="n"/>
      <c r="E262" s="17" t="n"/>
      <c r="F262" s="7" t="n"/>
      <c r="G262" s="4" t="n"/>
      <c r="H262" s="7">
        <f>IF(A262="","",SUMIFS(Платежи!$C:$C,Платежи!$B:$B,A262))</f>
        <v/>
      </c>
      <c r="I262" s="7">
        <f>IF(A262="","",MAX(0,D262-H262))</f>
        <v/>
      </c>
      <c r="J262" s="10">
        <f>IF(OR(A262="",D262=0),"",H262/D262)</f>
        <v/>
      </c>
    </row>
    <row r="263">
      <c r="D263" s="7" t="n"/>
      <c r="E263" s="17" t="n"/>
      <c r="F263" s="7" t="n"/>
      <c r="G263" s="4" t="n"/>
      <c r="H263" s="7">
        <f>IF(A263="","",SUMIFS(Платежи!$C:$C,Платежи!$B:$B,A263))</f>
        <v/>
      </c>
      <c r="I263" s="7">
        <f>IF(A263="","",MAX(0,D263-H263))</f>
        <v/>
      </c>
      <c r="J263" s="10">
        <f>IF(OR(A263="",D263=0),"",H263/D263)</f>
        <v/>
      </c>
    </row>
    <row r="264">
      <c r="D264" s="7" t="n"/>
      <c r="E264" s="17" t="n"/>
      <c r="F264" s="7" t="n"/>
      <c r="G264" s="4" t="n"/>
      <c r="H264" s="7">
        <f>IF(A264="","",SUMIFS(Платежи!$C:$C,Платежи!$B:$B,A264))</f>
        <v/>
      </c>
      <c r="I264" s="7">
        <f>IF(A264="","",MAX(0,D264-H264))</f>
        <v/>
      </c>
      <c r="J264" s="10">
        <f>IF(OR(A264="",D264=0),"",H264/D264)</f>
        <v/>
      </c>
    </row>
    <row r="265">
      <c r="D265" s="7" t="n"/>
      <c r="E265" s="17" t="n"/>
      <c r="F265" s="7" t="n"/>
      <c r="G265" s="4" t="n"/>
      <c r="H265" s="7">
        <f>IF(A265="","",SUMIFS(Платежи!$C:$C,Платежи!$B:$B,A265))</f>
        <v/>
      </c>
      <c r="I265" s="7">
        <f>IF(A265="","",MAX(0,D265-H265))</f>
        <v/>
      </c>
      <c r="J265" s="10">
        <f>IF(OR(A265="",D265=0),"",H265/D265)</f>
        <v/>
      </c>
    </row>
    <row r="266">
      <c r="D266" s="7" t="n"/>
      <c r="E266" s="17" t="n"/>
      <c r="F266" s="7" t="n"/>
      <c r="G266" s="4" t="n"/>
      <c r="H266" s="7">
        <f>IF(A266="","",SUMIFS(Платежи!$C:$C,Платежи!$B:$B,A266))</f>
        <v/>
      </c>
      <c r="I266" s="7">
        <f>IF(A266="","",MAX(0,D266-H266))</f>
        <v/>
      </c>
      <c r="J266" s="10">
        <f>IF(OR(A266="",D266=0),"",H266/D266)</f>
        <v/>
      </c>
    </row>
    <row r="267">
      <c r="D267" s="7" t="n"/>
      <c r="E267" s="17" t="n"/>
      <c r="F267" s="7" t="n"/>
      <c r="G267" s="4" t="n"/>
      <c r="H267" s="7">
        <f>IF(A267="","",SUMIFS(Платежи!$C:$C,Платежи!$B:$B,A267))</f>
        <v/>
      </c>
      <c r="I267" s="7">
        <f>IF(A267="","",MAX(0,D267-H267))</f>
        <v/>
      </c>
      <c r="J267" s="10">
        <f>IF(OR(A267="",D267=0),"",H267/D267)</f>
        <v/>
      </c>
    </row>
    <row r="268">
      <c r="D268" s="7" t="n"/>
      <c r="E268" s="17" t="n"/>
      <c r="F268" s="7" t="n"/>
      <c r="G268" s="4" t="n"/>
      <c r="H268" s="7">
        <f>IF(A268="","",SUMIFS(Платежи!$C:$C,Платежи!$B:$B,A268))</f>
        <v/>
      </c>
      <c r="I268" s="7">
        <f>IF(A268="","",MAX(0,D268-H268))</f>
        <v/>
      </c>
      <c r="J268" s="10">
        <f>IF(OR(A268="",D268=0),"",H268/D268)</f>
        <v/>
      </c>
    </row>
    <row r="269">
      <c r="D269" s="7" t="n"/>
      <c r="E269" s="17" t="n"/>
      <c r="F269" s="7" t="n"/>
      <c r="G269" s="4" t="n"/>
      <c r="H269" s="7">
        <f>IF(A269="","",SUMIFS(Платежи!$C:$C,Платежи!$B:$B,A269))</f>
        <v/>
      </c>
      <c r="I269" s="7">
        <f>IF(A269="","",MAX(0,D269-H269))</f>
        <v/>
      </c>
      <c r="J269" s="10">
        <f>IF(OR(A269="",D269=0),"",H269/D269)</f>
        <v/>
      </c>
    </row>
    <row r="270">
      <c r="D270" s="7" t="n"/>
      <c r="E270" s="17" t="n"/>
      <c r="F270" s="7" t="n"/>
      <c r="G270" s="4" t="n"/>
      <c r="H270" s="7">
        <f>IF(A270="","",SUMIFS(Платежи!$C:$C,Платежи!$B:$B,A270))</f>
        <v/>
      </c>
      <c r="I270" s="7">
        <f>IF(A270="","",MAX(0,D270-H270))</f>
        <v/>
      </c>
      <c r="J270" s="10">
        <f>IF(OR(A270="",D270=0),"",H270/D270)</f>
        <v/>
      </c>
    </row>
    <row r="271">
      <c r="D271" s="7" t="n"/>
      <c r="E271" s="17" t="n"/>
      <c r="F271" s="7" t="n"/>
      <c r="G271" s="4" t="n"/>
      <c r="H271" s="7">
        <f>IF(A271="","",SUMIFS(Платежи!$C:$C,Платежи!$B:$B,A271))</f>
        <v/>
      </c>
      <c r="I271" s="7">
        <f>IF(A271="","",MAX(0,D271-H271))</f>
        <v/>
      </c>
      <c r="J271" s="10">
        <f>IF(OR(A271="",D271=0),"",H271/D271)</f>
        <v/>
      </c>
    </row>
    <row r="272">
      <c r="D272" s="7" t="n"/>
      <c r="E272" s="17" t="n"/>
      <c r="F272" s="7" t="n"/>
      <c r="G272" s="4" t="n"/>
      <c r="H272" s="7">
        <f>IF(A272="","",SUMIFS(Платежи!$C:$C,Платежи!$B:$B,A272))</f>
        <v/>
      </c>
      <c r="I272" s="7">
        <f>IF(A272="","",MAX(0,D272-H272))</f>
        <v/>
      </c>
      <c r="J272" s="10">
        <f>IF(OR(A272="",D272=0),"",H272/D272)</f>
        <v/>
      </c>
    </row>
    <row r="273">
      <c r="D273" s="7" t="n"/>
      <c r="E273" s="17" t="n"/>
      <c r="F273" s="7" t="n"/>
      <c r="G273" s="4" t="n"/>
      <c r="H273" s="7">
        <f>IF(A273="","",SUMIFS(Платежи!$C:$C,Платежи!$B:$B,A273))</f>
        <v/>
      </c>
      <c r="I273" s="7">
        <f>IF(A273="","",MAX(0,D273-H273))</f>
        <v/>
      </c>
      <c r="J273" s="10">
        <f>IF(OR(A273="",D273=0),"",H273/D273)</f>
        <v/>
      </c>
    </row>
    <row r="274">
      <c r="D274" s="7" t="n"/>
      <c r="E274" s="17" t="n"/>
      <c r="F274" s="7" t="n"/>
      <c r="G274" s="4" t="n"/>
      <c r="H274" s="7">
        <f>IF(A274="","",SUMIFS(Платежи!$C:$C,Платежи!$B:$B,A274))</f>
        <v/>
      </c>
      <c r="I274" s="7">
        <f>IF(A274="","",MAX(0,D274-H274))</f>
        <v/>
      </c>
      <c r="J274" s="10">
        <f>IF(OR(A274="",D274=0),"",H274/D274)</f>
        <v/>
      </c>
    </row>
    <row r="275">
      <c r="D275" s="7" t="n"/>
      <c r="E275" s="17" t="n"/>
      <c r="F275" s="7" t="n"/>
      <c r="G275" s="4" t="n"/>
      <c r="H275" s="7">
        <f>IF(A275="","",SUMIFS(Платежи!$C:$C,Платежи!$B:$B,A275))</f>
        <v/>
      </c>
      <c r="I275" s="7">
        <f>IF(A275="","",MAX(0,D275-H275))</f>
        <v/>
      </c>
      <c r="J275" s="10">
        <f>IF(OR(A275="",D275=0),"",H275/D275)</f>
        <v/>
      </c>
    </row>
    <row r="276">
      <c r="D276" s="7" t="n"/>
      <c r="E276" s="17" t="n"/>
      <c r="F276" s="7" t="n"/>
      <c r="G276" s="4" t="n"/>
      <c r="H276" s="7">
        <f>IF(A276="","",SUMIFS(Платежи!$C:$C,Платежи!$B:$B,A276))</f>
        <v/>
      </c>
      <c r="I276" s="7">
        <f>IF(A276="","",MAX(0,D276-H276))</f>
        <v/>
      </c>
      <c r="J276" s="10">
        <f>IF(OR(A276="",D276=0),"",H276/D276)</f>
        <v/>
      </c>
    </row>
    <row r="277">
      <c r="D277" s="7" t="n"/>
      <c r="E277" s="17" t="n"/>
      <c r="F277" s="7" t="n"/>
      <c r="G277" s="4" t="n"/>
      <c r="H277" s="7">
        <f>IF(A277="","",SUMIFS(Платежи!$C:$C,Платежи!$B:$B,A277))</f>
        <v/>
      </c>
      <c r="I277" s="7">
        <f>IF(A277="","",MAX(0,D277-H277))</f>
        <v/>
      </c>
      <c r="J277" s="10">
        <f>IF(OR(A277="",D277=0),"",H277/D277)</f>
        <v/>
      </c>
    </row>
    <row r="278">
      <c r="D278" s="7" t="n"/>
      <c r="E278" s="17" t="n"/>
      <c r="F278" s="7" t="n"/>
      <c r="G278" s="4" t="n"/>
      <c r="H278" s="7">
        <f>IF(A278="","",SUMIFS(Платежи!$C:$C,Платежи!$B:$B,A278))</f>
        <v/>
      </c>
      <c r="I278" s="7">
        <f>IF(A278="","",MAX(0,D278-H278))</f>
        <v/>
      </c>
      <c r="J278" s="10">
        <f>IF(OR(A278="",D278=0),"",H278/D278)</f>
        <v/>
      </c>
    </row>
    <row r="279">
      <c r="D279" s="7" t="n"/>
      <c r="E279" s="17" t="n"/>
      <c r="F279" s="7" t="n"/>
      <c r="G279" s="4" t="n"/>
      <c r="H279" s="7">
        <f>IF(A279="","",SUMIFS(Платежи!$C:$C,Платежи!$B:$B,A279))</f>
        <v/>
      </c>
      <c r="I279" s="7">
        <f>IF(A279="","",MAX(0,D279-H279))</f>
        <v/>
      </c>
      <c r="J279" s="10">
        <f>IF(OR(A279="",D279=0),"",H279/D279)</f>
        <v/>
      </c>
    </row>
    <row r="280">
      <c r="D280" s="7" t="n"/>
      <c r="E280" s="17" t="n"/>
      <c r="F280" s="7" t="n"/>
      <c r="G280" s="4" t="n"/>
      <c r="H280" s="7">
        <f>IF(A280="","",SUMIFS(Платежи!$C:$C,Платежи!$B:$B,A280))</f>
        <v/>
      </c>
      <c r="I280" s="7">
        <f>IF(A280="","",MAX(0,D280-H280))</f>
        <v/>
      </c>
      <c r="J280" s="10">
        <f>IF(OR(A280="",D280=0),"",H280/D280)</f>
        <v/>
      </c>
    </row>
    <row r="281">
      <c r="D281" s="7" t="n"/>
      <c r="E281" s="17" t="n"/>
      <c r="F281" s="7" t="n"/>
      <c r="G281" s="4" t="n"/>
      <c r="H281" s="7">
        <f>IF(A281="","",SUMIFS(Платежи!$C:$C,Платежи!$B:$B,A281))</f>
        <v/>
      </c>
      <c r="I281" s="7">
        <f>IF(A281="","",MAX(0,D281-H281))</f>
        <v/>
      </c>
      <c r="J281" s="10">
        <f>IF(OR(A281="",D281=0),"",H281/D281)</f>
        <v/>
      </c>
    </row>
    <row r="282">
      <c r="D282" s="7" t="n"/>
      <c r="E282" s="17" t="n"/>
      <c r="F282" s="7" t="n"/>
      <c r="G282" s="4" t="n"/>
      <c r="H282" s="7">
        <f>IF(A282="","",SUMIFS(Платежи!$C:$C,Платежи!$B:$B,A282))</f>
        <v/>
      </c>
      <c r="I282" s="7">
        <f>IF(A282="","",MAX(0,D282-H282))</f>
        <v/>
      </c>
      <c r="J282" s="10">
        <f>IF(OR(A282="",D282=0),"",H282/D282)</f>
        <v/>
      </c>
    </row>
    <row r="283">
      <c r="D283" s="7" t="n"/>
      <c r="E283" s="17" t="n"/>
      <c r="F283" s="7" t="n"/>
      <c r="G283" s="4" t="n"/>
      <c r="H283" s="7">
        <f>IF(A283="","",SUMIFS(Платежи!$C:$C,Платежи!$B:$B,A283))</f>
        <v/>
      </c>
      <c r="I283" s="7">
        <f>IF(A283="","",MAX(0,D283-H283))</f>
        <v/>
      </c>
      <c r="J283" s="10">
        <f>IF(OR(A283="",D283=0),"",H283/D283)</f>
        <v/>
      </c>
    </row>
    <row r="284">
      <c r="D284" s="7" t="n"/>
      <c r="E284" s="17" t="n"/>
      <c r="F284" s="7" t="n"/>
      <c r="G284" s="4" t="n"/>
      <c r="H284" s="7">
        <f>IF(A284="","",SUMIFS(Платежи!$C:$C,Платежи!$B:$B,A284))</f>
        <v/>
      </c>
      <c r="I284" s="7">
        <f>IF(A284="","",MAX(0,D284-H284))</f>
        <v/>
      </c>
      <c r="J284" s="10">
        <f>IF(OR(A284="",D284=0),"",H284/D284)</f>
        <v/>
      </c>
    </row>
    <row r="285">
      <c r="D285" s="7" t="n"/>
      <c r="E285" s="17" t="n"/>
      <c r="F285" s="7" t="n"/>
      <c r="G285" s="4" t="n"/>
      <c r="H285" s="7">
        <f>IF(A285="","",SUMIFS(Платежи!$C:$C,Платежи!$B:$B,A285))</f>
        <v/>
      </c>
      <c r="I285" s="7">
        <f>IF(A285="","",MAX(0,D285-H285))</f>
        <v/>
      </c>
      <c r="J285" s="10">
        <f>IF(OR(A285="",D285=0),"",H285/D285)</f>
        <v/>
      </c>
    </row>
    <row r="286">
      <c r="D286" s="7" t="n"/>
      <c r="E286" s="17" t="n"/>
      <c r="F286" s="7" t="n"/>
      <c r="G286" s="4" t="n"/>
      <c r="H286" s="7">
        <f>IF(A286="","",SUMIFS(Платежи!$C:$C,Платежи!$B:$B,A286))</f>
        <v/>
      </c>
      <c r="I286" s="7">
        <f>IF(A286="","",MAX(0,D286-H286))</f>
        <v/>
      </c>
      <c r="J286" s="10">
        <f>IF(OR(A286="",D286=0),"",H286/D286)</f>
        <v/>
      </c>
    </row>
    <row r="287">
      <c r="D287" s="7" t="n"/>
      <c r="E287" s="17" t="n"/>
      <c r="F287" s="7" t="n"/>
      <c r="G287" s="4" t="n"/>
      <c r="H287" s="7">
        <f>IF(A287="","",SUMIFS(Платежи!$C:$C,Платежи!$B:$B,A287))</f>
        <v/>
      </c>
      <c r="I287" s="7">
        <f>IF(A287="","",MAX(0,D287-H287))</f>
        <v/>
      </c>
      <c r="J287" s="10">
        <f>IF(OR(A287="",D287=0),"",H287/D287)</f>
        <v/>
      </c>
    </row>
    <row r="288">
      <c r="D288" s="7" t="n"/>
      <c r="E288" s="17" t="n"/>
      <c r="F288" s="7" t="n"/>
      <c r="G288" s="4" t="n"/>
      <c r="H288" s="7">
        <f>IF(A288="","",SUMIFS(Платежи!$C:$C,Платежи!$B:$B,A288))</f>
        <v/>
      </c>
      <c r="I288" s="7">
        <f>IF(A288="","",MAX(0,D288-H288))</f>
        <v/>
      </c>
      <c r="J288" s="10">
        <f>IF(OR(A288="",D288=0),"",H288/D288)</f>
        <v/>
      </c>
    </row>
    <row r="289">
      <c r="D289" s="7" t="n"/>
      <c r="E289" s="17" t="n"/>
      <c r="F289" s="7" t="n"/>
      <c r="G289" s="4" t="n"/>
      <c r="H289" s="7">
        <f>IF(A289="","",SUMIFS(Платежи!$C:$C,Платежи!$B:$B,A289))</f>
        <v/>
      </c>
      <c r="I289" s="7">
        <f>IF(A289="","",MAX(0,D289-H289))</f>
        <v/>
      </c>
      <c r="J289" s="10">
        <f>IF(OR(A289="",D289=0),"",H289/D289)</f>
        <v/>
      </c>
    </row>
    <row r="290">
      <c r="D290" s="7" t="n"/>
      <c r="E290" s="17" t="n"/>
      <c r="F290" s="7" t="n"/>
      <c r="G290" s="4" t="n"/>
      <c r="H290" s="7">
        <f>IF(A290="","",SUMIFS(Платежи!$C:$C,Платежи!$B:$B,A290))</f>
        <v/>
      </c>
      <c r="I290" s="7">
        <f>IF(A290="","",MAX(0,D290-H290))</f>
        <v/>
      </c>
      <c r="J290" s="10">
        <f>IF(OR(A290="",D290=0),"",H290/D290)</f>
        <v/>
      </c>
    </row>
    <row r="291">
      <c r="D291" s="7" t="n"/>
      <c r="E291" s="17" t="n"/>
      <c r="F291" s="7" t="n"/>
      <c r="G291" s="4" t="n"/>
      <c r="H291" s="7">
        <f>IF(A291="","",SUMIFS(Платежи!$C:$C,Платежи!$B:$B,A291))</f>
        <v/>
      </c>
      <c r="I291" s="7">
        <f>IF(A291="","",MAX(0,D291-H291))</f>
        <v/>
      </c>
      <c r="J291" s="10">
        <f>IF(OR(A291="",D291=0),"",H291/D291)</f>
        <v/>
      </c>
    </row>
    <row r="292">
      <c r="D292" s="7" t="n"/>
      <c r="E292" s="17" t="n"/>
      <c r="F292" s="7" t="n"/>
      <c r="G292" s="4" t="n"/>
      <c r="H292" s="7">
        <f>IF(A292="","",SUMIFS(Платежи!$C:$C,Платежи!$B:$B,A292))</f>
        <v/>
      </c>
      <c r="I292" s="7">
        <f>IF(A292="","",MAX(0,D292-H292))</f>
        <v/>
      </c>
      <c r="J292" s="10">
        <f>IF(OR(A292="",D292=0),"",H292/D292)</f>
        <v/>
      </c>
    </row>
    <row r="293">
      <c r="D293" s="7" t="n"/>
      <c r="E293" s="17" t="n"/>
      <c r="F293" s="7" t="n"/>
      <c r="G293" s="4" t="n"/>
      <c r="H293" s="7">
        <f>IF(A293="","",SUMIFS(Платежи!$C:$C,Платежи!$B:$B,A293))</f>
        <v/>
      </c>
      <c r="I293" s="7">
        <f>IF(A293="","",MAX(0,D293-H293))</f>
        <v/>
      </c>
      <c r="J293" s="10">
        <f>IF(OR(A293="",D293=0),"",H293/D293)</f>
        <v/>
      </c>
    </row>
    <row r="294">
      <c r="D294" s="7" t="n"/>
      <c r="E294" s="17" t="n"/>
      <c r="F294" s="7" t="n"/>
      <c r="G294" s="4" t="n"/>
      <c r="H294" s="7">
        <f>IF(A294="","",SUMIFS(Платежи!$C:$C,Платежи!$B:$B,A294))</f>
        <v/>
      </c>
      <c r="I294" s="7">
        <f>IF(A294="","",MAX(0,D294-H294))</f>
        <v/>
      </c>
      <c r="J294" s="10">
        <f>IF(OR(A294="",D294=0),"",H294/D294)</f>
        <v/>
      </c>
    </row>
    <row r="295">
      <c r="D295" s="7" t="n"/>
      <c r="E295" s="17" t="n"/>
      <c r="F295" s="7" t="n"/>
      <c r="G295" s="4" t="n"/>
      <c r="H295" s="7">
        <f>IF(A295="","",SUMIFS(Платежи!$C:$C,Платежи!$B:$B,A295))</f>
        <v/>
      </c>
      <c r="I295" s="7">
        <f>IF(A295="","",MAX(0,D295-H295))</f>
        <v/>
      </c>
      <c r="J295" s="10">
        <f>IF(OR(A295="",D295=0),"",H295/D295)</f>
        <v/>
      </c>
    </row>
    <row r="296">
      <c r="D296" s="7" t="n"/>
      <c r="E296" s="17" t="n"/>
      <c r="F296" s="7" t="n"/>
      <c r="G296" s="4" t="n"/>
      <c r="H296" s="7">
        <f>IF(A296="","",SUMIFS(Платежи!$C:$C,Платежи!$B:$B,A296))</f>
        <v/>
      </c>
      <c r="I296" s="7">
        <f>IF(A296="","",MAX(0,D296-H296))</f>
        <v/>
      </c>
      <c r="J296" s="10">
        <f>IF(OR(A296="",D296=0),"",H296/D296)</f>
        <v/>
      </c>
    </row>
    <row r="297">
      <c r="D297" s="7" t="n"/>
      <c r="E297" s="17" t="n"/>
      <c r="F297" s="7" t="n"/>
      <c r="G297" s="4" t="n"/>
      <c r="H297" s="7">
        <f>IF(A297="","",SUMIFS(Платежи!$C:$C,Платежи!$B:$B,A297))</f>
        <v/>
      </c>
      <c r="I297" s="7">
        <f>IF(A297="","",MAX(0,D297-H297))</f>
        <v/>
      </c>
      <c r="J297" s="10">
        <f>IF(OR(A297="",D297=0),"",H297/D297)</f>
        <v/>
      </c>
    </row>
    <row r="298">
      <c r="D298" s="7" t="n"/>
      <c r="E298" s="17" t="n"/>
      <c r="F298" s="7" t="n"/>
      <c r="G298" s="4" t="n"/>
      <c r="H298" s="7">
        <f>IF(A298="","",SUMIFS(Платежи!$C:$C,Платежи!$B:$B,A298))</f>
        <v/>
      </c>
      <c r="I298" s="7">
        <f>IF(A298="","",MAX(0,D298-H298))</f>
        <v/>
      </c>
      <c r="J298" s="10">
        <f>IF(OR(A298="",D298=0),"",H298/D298)</f>
        <v/>
      </c>
    </row>
    <row r="299">
      <c r="D299" s="7" t="n"/>
      <c r="E299" s="17" t="n"/>
      <c r="F299" s="7" t="n"/>
      <c r="G299" s="4" t="n"/>
      <c r="H299" s="7">
        <f>IF(A299="","",SUMIFS(Платежи!$C:$C,Платежи!$B:$B,A299))</f>
        <v/>
      </c>
      <c r="I299" s="7">
        <f>IF(A299="","",MAX(0,D299-H299))</f>
        <v/>
      </c>
      <c r="J299" s="10">
        <f>IF(OR(A299="",D299=0),"",H299/D299)</f>
        <v/>
      </c>
    </row>
    <row r="300">
      <c r="D300" s="7" t="n"/>
      <c r="E300" s="17" t="n"/>
      <c r="F300" s="7" t="n"/>
      <c r="G300" s="4" t="n"/>
      <c r="H300" s="7">
        <f>IF(A300="","",SUMIFS(Платежи!$C:$C,Платежи!$B:$B,A300))</f>
        <v/>
      </c>
      <c r="I300" s="7">
        <f>IF(A300="","",MAX(0,D300-H300))</f>
        <v/>
      </c>
      <c r="J300" s="10">
        <f>IF(OR(A300="",D300=0),"",H300/D300)</f>
        <v/>
      </c>
    </row>
    <row r="301">
      <c r="D301" s="7" t="n"/>
      <c r="E301" s="17" t="n"/>
      <c r="F301" s="7" t="n"/>
      <c r="G301" s="4" t="n"/>
      <c r="H301" s="7">
        <f>IF(A301="","",SUMIFS(Платежи!$C:$C,Платежи!$B:$B,A301))</f>
        <v/>
      </c>
      <c r="I301" s="7">
        <f>IF(A301="","",MAX(0,D301-H301))</f>
        <v/>
      </c>
      <c r="J301" s="10">
        <f>IF(OR(A301="",D301=0),"",H301/D301)</f>
        <v/>
      </c>
    </row>
    <row r="302">
      <c r="D302" s="7" t="n"/>
      <c r="E302" s="17" t="n"/>
      <c r="F302" s="7" t="n"/>
      <c r="G302" s="4" t="n"/>
      <c r="H302" s="7">
        <f>IF(A302="","",SUMIFS(Платежи!$C:$C,Платежи!$B:$B,A302))</f>
        <v/>
      </c>
      <c r="I302" s="7">
        <f>IF(A302="","",MAX(0,D302-H302))</f>
        <v/>
      </c>
      <c r="J302" s="10">
        <f>IF(OR(A302="",D302=0),"",H302/D302)</f>
        <v/>
      </c>
    </row>
    <row r="303">
      <c r="D303" s="7" t="n"/>
      <c r="E303" s="17" t="n"/>
      <c r="F303" s="7" t="n"/>
      <c r="G303" s="4" t="n"/>
      <c r="H303" s="7">
        <f>IF(A303="","",SUMIFS(Платежи!$C:$C,Платежи!$B:$B,A303))</f>
        <v/>
      </c>
      <c r="I303" s="7">
        <f>IF(A303="","",MAX(0,D303-H303))</f>
        <v/>
      </c>
      <c r="J303" s="10">
        <f>IF(OR(A303="",D303=0),"",H303/D303)</f>
        <v/>
      </c>
    </row>
    <row r="304">
      <c r="D304" s="7" t="n"/>
      <c r="E304" s="17" t="n"/>
      <c r="F304" s="7" t="n"/>
      <c r="G304" s="4" t="n"/>
      <c r="H304" s="7">
        <f>IF(A304="","",SUMIFS(Платежи!$C:$C,Платежи!$B:$B,A304))</f>
        <v/>
      </c>
      <c r="I304" s="7">
        <f>IF(A304="","",MAX(0,D304-H304))</f>
        <v/>
      </c>
      <c r="J304" s="10">
        <f>IF(OR(A304="",D304=0),"",H304/D304)</f>
        <v/>
      </c>
    </row>
    <row r="305">
      <c r="D305" s="7" t="n"/>
      <c r="E305" s="17" t="n"/>
      <c r="F305" s="7" t="n"/>
      <c r="G305" s="4" t="n"/>
      <c r="H305" s="7">
        <f>IF(A305="","",SUMIFS(Платежи!$C:$C,Платежи!$B:$B,A305))</f>
        <v/>
      </c>
      <c r="I305" s="7">
        <f>IF(A305="","",MAX(0,D305-H305))</f>
        <v/>
      </c>
      <c r="J305" s="10">
        <f>IF(OR(A305="",D305=0),"",H305/D305)</f>
        <v/>
      </c>
    </row>
    <row r="306">
      <c r="D306" s="7" t="n"/>
      <c r="E306" s="17" t="n"/>
      <c r="F306" s="7" t="n"/>
      <c r="G306" s="4" t="n"/>
      <c r="H306" s="7">
        <f>IF(A306="","",SUMIFS(Платежи!$C:$C,Платежи!$B:$B,A306))</f>
        <v/>
      </c>
      <c r="I306" s="7">
        <f>IF(A306="","",MAX(0,D306-H306))</f>
        <v/>
      </c>
      <c r="J306" s="10">
        <f>IF(OR(A306="",D306=0),"",H306/D306)</f>
        <v/>
      </c>
    </row>
    <row r="307">
      <c r="D307" s="7" t="n"/>
      <c r="E307" s="17" t="n"/>
      <c r="F307" s="7" t="n"/>
      <c r="G307" s="4" t="n"/>
      <c r="H307" s="7">
        <f>IF(A307="","",SUMIFS(Платежи!$C:$C,Платежи!$B:$B,A307))</f>
        <v/>
      </c>
      <c r="I307" s="7">
        <f>IF(A307="","",MAX(0,D307-H307))</f>
        <v/>
      </c>
      <c r="J307" s="10">
        <f>IF(OR(A307="",D307=0),"",H307/D307)</f>
        <v/>
      </c>
    </row>
    <row r="308">
      <c r="D308" s="7" t="n"/>
      <c r="E308" s="17" t="n"/>
      <c r="F308" s="7" t="n"/>
      <c r="G308" s="4" t="n"/>
      <c r="H308" s="7">
        <f>IF(A308="","",SUMIFS(Платежи!$C:$C,Платежи!$B:$B,A308))</f>
        <v/>
      </c>
      <c r="I308" s="7">
        <f>IF(A308="","",MAX(0,D308-H308))</f>
        <v/>
      </c>
      <c r="J308" s="10">
        <f>IF(OR(A308="",D308=0),"",H308/D308)</f>
        <v/>
      </c>
    </row>
    <row r="309">
      <c r="D309" s="7" t="n"/>
      <c r="E309" s="17" t="n"/>
      <c r="F309" s="7" t="n"/>
      <c r="G309" s="4" t="n"/>
      <c r="H309" s="7">
        <f>IF(A309="","",SUMIFS(Платежи!$C:$C,Платежи!$B:$B,A309))</f>
        <v/>
      </c>
      <c r="I309" s="7">
        <f>IF(A309="","",MAX(0,D309-H309))</f>
        <v/>
      </c>
      <c r="J309" s="10">
        <f>IF(OR(A309="",D309=0),"",H309/D309)</f>
        <v/>
      </c>
    </row>
    <row r="310">
      <c r="D310" s="7" t="n"/>
      <c r="E310" s="17" t="n"/>
      <c r="F310" s="7" t="n"/>
      <c r="G310" s="4" t="n"/>
      <c r="H310" s="7">
        <f>IF(A310="","",SUMIFS(Платежи!$C:$C,Платежи!$B:$B,A310))</f>
        <v/>
      </c>
      <c r="I310" s="7">
        <f>IF(A310="","",MAX(0,D310-H310))</f>
        <v/>
      </c>
      <c r="J310" s="10">
        <f>IF(OR(A310="",D310=0),"",H310/D310)</f>
        <v/>
      </c>
    </row>
    <row r="311">
      <c r="D311" s="7" t="n"/>
      <c r="E311" s="17" t="n"/>
      <c r="F311" s="7" t="n"/>
      <c r="G311" s="4" t="n"/>
      <c r="H311" s="7">
        <f>IF(A311="","",SUMIFS(Платежи!$C:$C,Платежи!$B:$B,A311))</f>
        <v/>
      </c>
      <c r="I311" s="7">
        <f>IF(A311="","",MAX(0,D311-H311))</f>
        <v/>
      </c>
      <c r="J311" s="10">
        <f>IF(OR(A311="",D311=0),"",H311/D311)</f>
        <v/>
      </c>
    </row>
    <row r="312">
      <c r="D312" s="7" t="n"/>
      <c r="E312" s="17" t="n"/>
      <c r="F312" s="7" t="n"/>
      <c r="G312" s="4" t="n"/>
      <c r="H312" s="7">
        <f>IF(A312="","",SUMIFS(Платежи!$C:$C,Платежи!$B:$B,A312))</f>
        <v/>
      </c>
      <c r="I312" s="7">
        <f>IF(A312="","",MAX(0,D312-H312))</f>
        <v/>
      </c>
      <c r="J312" s="10">
        <f>IF(OR(A312="",D312=0),"",H312/D312)</f>
        <v/>
      </c>
    </row>
    <row r="313">
      <c r="D313" s="7" t="n"/>
      <c r="E313" s="17" t="n"/>
      <c r="F313" s="7" t="n"/>
      <c r="G313" s="4" t="n"/>
      <c r="H313" s="7">
        <f>IF(A313="","",SUMIFS(Платежи!$C:$C,Платежи!$B:$B,A313))</f>
        <v/>
      </c>
      <c r="I313" s="7">
        <f>IF(A313="","",MAX(0,D313-H313))</f>
        <v/>
      </c>
      <c r="J313" s="10">
        <f>IF(OR(A313="",D313=0),"",H313/D313)</f>
        <v/>
      </c>
    </row>
    <row r="314">
      <c r="D314" s="7" t="n"/>
      <c r="E314" s="17" t="n"/>
      <c r="F314" s="7" t="n"/>
      <c r="G314" s="4" t="n"/>
      <c r="H314" s="7">
        <f>IF(A314="","",SUMIFS(Платежи!$C:$C,Платежи!$B:$B,A314))</f>
        <v/>
      </c>
      <c r="I314" s="7">
        <f>IF(A314="","",MAX(0,D314-H314))</f>
        <v/>
      </c>
      <c r="J314" s="10">
        <f>IF(OR(A314="",D314=0),"",H314/D314)</f>
        <v/>
      </c>
    </row>
    <row r="315">
      <c r="D315" s="7" t="n"/>
      <c r="E315" s="17" t="n"/>
      <c r="F315" s="7" t="n"/>
      <c r="G315" s="4" t="n"/>
      <c r="H315" s="7">
        <f>IF(A315="","",SUMIFS(Платежи!$C:$C,Платежи!$B:$B,A315))</f>
        <v/>
      </c>
      <c r="I315" s="7">
        <f>IF(A315="","",MAX(0,D315-H315))</f>
        <v/>
      </c>
      <c r="J315" s="10">
        <f>IF(OR(A315="",D315=0),"",H315/D315)</f>
        <v/>
      </c>
    </row>
    <row r="316">
      <c r="D316" s="7" t="n"/>
      <c r="E316" s="17" t="n"/>
      <c r="F316" s="7" t="n"/>
      <c r="G316" s="4" t="n"/>
      <c r="H316" s="7">
        <f>IF(A316="","",SUMIFS(Платежи!$C:$C,Платежи!$B:$B,A316))</f>
        <v/>
      </c>
      <c r="I316" s="7">
        <f>IF(A316="","",MAX(0,D316-H316))</f>
        <v/>
      </c>
      <c r="J316" s="10">
        <f>IF(OR(A316="",D316=0),"",H316/D316)</f>
        <v/>
      </c>
    </row>
    <row r="317">
      <c r="D317" s="7" t="n"/>
      <c r="E317" s="17" t="n"/>
      <c r="F317" s="7" t="n"/>
      <c r="G317" s="4" t="n"/>
      <c r="H317" s="7">
        <f>IF(A317="","",SUMIFS(Платежи!$C:$C,Платежи!$B:$B,A317))</f>
        <v/>
      </c>
      <c r="I317" s="7">
        <f>IF(A317="","",MAX(0,D317-H317))</f>
        <v/>
      </c>
      <c r="J317" s="10">
        <f>IF(OR(A317="",D317=0),"",H317/D317)</f>
        <v/>
      </c>
    </row>
    <row r="318">
      <c r="D318" s="7" t="n"/>
      <c r="E318" s="17" t="n"/>
      <c r="F318" s="7" t="n"/>
      <c r="G318" s="4" t="n"/>
      <c r="H318" s="7">
        <f>IF(A318="","",SUMIFS(Платежи!$C:$C,Платежи!$B:$B,A318))</f>
        <v/>
      </c>
      <c r="I318" s="7">
        <f>IF(A318="","",MAX(0,D318-H318))</f>
        <v/>
      </c>
      <c r="J318" s="10">
        <f>IF(OR(A318="",D318=0),"",H318/D318)</f>
        <v/>
      </c>
    </row>
    <row r="319">
      <c r="D319" s="7" t="n"/>
      <c r="E319" s="17" t="n"/>
      <c r="F319" s="7" t="n"/>
      <c r="G319" s="4" t="n"/>
      <c r="H319" s="7">
        <f>IF(A319="","",SUMIFS(Платежи!$C:$C,Платежи!$B:$B,A319))</f>
        <v/>
      </c>
      <c r="I319" s="7">
        <f>IF(A319="","",MAX(0,D319-H319))</f>
        <v/>
      </c>
      <c r="J319" s="10">
        <f>IF(OR(A319="",D319=0),"",H319/D319)</f>
        <v/>
      </c>
    </row>
    <row r="320">
      <c r="D320" s="7" t="n"/>
      <c r="E320" s="17" t="n"/>
      <c r="F320" s="7" t="n"/>
      <c r="G320" s="4" t="n"/>
      <c r="H320" s="7">
        <f>IF(A320="","",SUMIFS(Платежи!$C:$C,Платежи!$B:$B,A320))</f>
        <v/>
      </c>
      <c r="I320" s="7">
        <f>IF(A320="","",MAX(0,D320-H320))</f>
        <v/>
      </c>
      <c r="J320" s="10">
        <f>IF(OR(A320="",D320=0),"",H320/D320)</f>
        <v/>
      </c>
    </row>
    <row r="321">
      <c r="D321" s="7" t="n"/>
      <c r="E321" s="17" t="n"/>
      <c r="F321" s="7" t="n"/>
      <c r="G321" s="4" t="n"/>
      <c r="H321" s="7">
        <f>IF(A321="","",SUMIFS(Платежи!$C:$C,Платежи!$B:$B,A321))</f>
        <v/>
      </c>
      <c r="I321" s="7">
        <f>IF(A321="","",MAX(0,D321-H321))</f>
        <v/>
      </c>
      <c r="J321" s="10">
        <f>IF(OR(A321="",D321=0),"",H321/D321)</f>
        <v/>
      </c>
    </row>
    <row r="322">
      <c r="D322" s="7" t="n"/>
      <c r="E322" s="17" t="n"/>
      <c r="F322" s="7" t="n"/>
      <c r="G322" s="4" t="n"/>
      <c r="H322" s="7">
        <f>IF(A322="","",SUMIFS(Платежи!$C:$C,Платежи!$B:$B,A322))</f>
        <v/>
      </c>
      <c r="I322" s="7">
        <f>IF(A322="","",MAX(0,D322-H322))</f>
        <v/>
      </c>
      <c r="J322" s="10">
        <f>IF(OR(A322="",D322=0),"",H322/D322)</f>
        <v/>
      </c>
    </row>
    <row r="323">
      <c r="D323" s="7" t="n"/>
      <c r="E323" s="17" t="n"/>
      <c r="F323" s="7" t="n"/>
      <c r="G323" s="4" t="n"/>
      <c r="H323" s="7">
        <f>IF(A323="","",SUMIFS(Платежи!$C:$C,Платежи!$B:$B,A323))</f>
        <v/>
      </c>
      <c r="I323" s="7">
        <f>IF(A323="","",MAX(0,D323-H323))</f>
        <v/>
      </c>
      <c r="J323" s="10">
        <f>IF(OR(A323="",D323=0),"",H323/D323)</f>
        <v/>
      </c>
    </row>
    <row r="324">
      <c r="D324" s="7" t="n"/>
      <c r="E324" s="17" t="n"/>
      <c r="F324" s="7" t="n"/>
      <c r="G324" s="4" t="n"/>
      <c r="H324" s="7">
        <f>IF(A324="","",SUMIFS(Платежи!$C:$C,Платежи!$B:$B,A324))</f>
        <v/>
      </c>
      <c r="I324" s="7">
        <f>IF(A324="","",MAX(0,D324-H324))</f>
        <v/>
      </c>
      <c r="J324" s="10">
        <f>IF(OR(A324="",D324=0),"",H324/D324)</f>
        <v/>
      </c>
    </row>
    <row r="325">
      <c r="D325" s="7" t="n"/>
      <c r="E325" s="17" t="n"/>
      <c r="F325" s="7" t="n"/>
      <c r="G325" s="4" t="n"/>
      <c r="H325" s="7">
        <f>IF(A325="","",SUMIFS(Платежи!$C:$C,Платежи!$B:$B,A325))</f>
        <v/>
      </c>
      <c r="I325" s="7">
        <f>IF(A325="","",MAX(0,D325-H325))</f>
        <v/>
      </c>
      <c r="J325" s="10">
        <f>IF(OR(A325="",D325=0),"",H325/D325)</f>
        <v/>
      </c>
    </row>
    <row r="326">
      <c r="D326" s="7" t="n"/>
      <c r="E326" s="17" t="n"/>
      <c r="F326" s="7" t="n"/>
      <c r="G326" s="4" t="n"/>
      <c r="H326" s="7">
        <f>IF(A326="","",SUMIFS(Платежи!$C:$C,Платежи!$B:$B,A326))</f>
        <v/>
      </c>
      <c r="I326" s="7">
        <f>IF(A326="","",MAX(0,D326-H326))</f>
        <v/>
      </c>
      <c r="J326" s="10">
        <f>IF(OR(A326="",D326=0),"",H326/D326)</f>
        <v/>
      </c>
    </row>
    <row r="327">
      <c r="D327" s="7" t="n"/>
      <c r="E327" s="17" t="n"/>
      <c r="F327" s="7" t="n"/>
      <c r="G327" s="4" t="n"/>
      <c r="H327" s="7">
        <f>IF(A327="","",SUMIFS(Платежи!$C:$C,Платежи!$B:$B,A327))</f>
        <v/>
      </c>
      <c r="I327" s="7">
        <f>IF(A327="","",MAX(0,D327-H327))</f>
        <v/>
      </c>
      <c r="J327" s="10">
        <f>IF(OR(A327="",D327=0),"",H327/D327)</f>
        <v/>
      </c>
    </row>
    <row r="328">
      <c r="D328" s="7" t="n"/>
      <c r="E328" s="17" t="n"/>
      <c r="F328" s="7" t="n"/>
      <c r="G328" s="4" t="n"/>
      <c r="H328" s="7">
        <f>IF(A328="","",SUMIFS(Платежи!$C:$C,Платежи!$B:$B,A328))</f>
        <v/>
      </c>
      <c r="I328" s="7">
        <f>IF(A328="","",MAX(0,D328-H328))</f>
        <v/>
      </c>
      <c r="J328" s="10">
        <f>IF(OR(A328="",D328=0),"",H328/D328)</f>
        <v/>
      </c>
    </row>
    <row r="329">
      <c r="D329" s="7" t="n"/>
      <c r="E329" s="17" t="n"/>
      <c r="F329" s="7" t="n"/>
      <c r="G329" s="4" t="n"/>
      <c r="H329" s="7">
        <f>IF(A329="","",SUMIFS(Платежи!$C:$C,Платежи!$B:$B,A329))</f>
        <v/>
      </c>
      <c r="I329" s="7">
        <f>IF(A329="","",MAX(0,D329-H329))</f>
        <v/>
      </c>
      <c r="J329" s="10">
        <f>IF(OR(A329="",D329=0),"",H329/D329)</f>
        <v/>
      </c>
    </row>
    <row r="330">
      <c r="D330" s="7" t="n"/>
      <c r="E330" s="17" t="n"/>
      <c r="F330" s="7" t="n"/>
      <c r="G330" s="4" t="n"/>
      <c r="H330" s="7">
        <f>IF(A330="","",SUMIFS(Платежи!$C:$C,Платежи!$B:$B,A330))</f>
        <v/>
      </c>
      <c r="I330" s="7">
        <f>IF(A330="","",MAX(0,D330-H330))</f>
        <v/>
      </c>
      <c r="J330" s="10">
        <f>IF(OR(A330="",D330=0),"",H330/D330)</f>
        <v/>
      </c>
    </row>
    <row r="331">
      <c r="D331" s="7" t="n"/>
      <c r="E331" s="17" t="n"/>
      <c r="F331" s="7" t="n"/>
      <c r="G331" s="4" t="n"/>
      <c r="H331" s="7">
        <f>IF(A331="","",SUMIFS(Платежи!$C:$C,Платежи!$B:$B,A331))</f>
        <v/>
      </c>
      <c r="I331" s="7">
        <f>IF(A331="","",MAX(0,D331-H331))</f>
        <v/>
      </c>
      <c r="J331" s="10">
        <f>IF(OR(A331="",D331=0),"",H331/D331)</f>
        <v/>
      </c>
    </row>
    <row r="332">
      <c r="D332" s="7" t="n"/>
      <c r="E332" s="17" t="n"/>
      <c r="F332" s="7" t="n"/>
      <c r="G332" s="4" t="n"/>
      <c r="H332" s="7">
        <f>IF(A332="","",SUMIFS(Платежи!$C:$C,Платежи!$B:$B,A332))</f>
        <v/>
      </c>
      <c r="I332" s="7">
        <f>IF(A332="","",MAX(0,D332-H332))</f>
        <v/>
      </c>
      <c r="J332" s="10">
        <f>IF(OR(A332="",D332=0),"",H332/D332)</f>
        <v/>
      </c>
    </row>
    <row r="333">
      <c r="D333" s="7" t="n"/>
      <c r="E333" s="17" t="n"/>
      <c r="F333" s="7" t="n"/>
      <c r="G333" s="4" t="n"/>
      <c r="H333" s="7">
        <f>IF(A333="","",SUMIFS(Платежи!$C:$C,Платежи!$B:$B,A333))</f>
        <v/>
      </c>
      <c r="I333" s="7">
        <f>IF(A333="","",MAX(0,D333-H333))</f>
        <v/>
      </c>
      <c r="J333" s="10">
        <f>IF(OR(A333="",D333=0),"",H333/D333)</f>
        <v/>
      </c>
    </row>
    <row r="334">
      <c r="D334" s="7" t="n"/>
      <c r="E334" s="17" t="n"/>
      <c r="F334" s="7" t="n"/>
      <c r="G334" s="4" t="n"/>
      <c r="H334" s="7">
        <f>IF(A334="","",SUMIFS(Платежи!$C:$C,Платежи!$B:$B,A334))</f>
        <v/>
      </c>
      <c r="I334" s="7">
        <f>IF(A334="","",MAX(0,D334-H334))</f>
        <v/>
      </c>
      <c r="J334" s="10">
        <f>IF(OR(A334="",D334=0),"",H334/D334)</f>
        <v/>
      </c>
    </row>
    <row r="335">
      <c r="D335" s="7" t="n"/>
      <c r="E335" s="17" t="n"/>
      <c r="F335" s="7" t="n"/>
      <c r="G335" s="4" t="n"/>
      <c r="H335" s="7">
        <f>IF(A335="","",SUMIFS(Платежи!$C:$C,Платежи!$B:$B,A335))</f>
        <v/>
      </c>
      <c r="I335" s="7">
        <f>IF(A335="","",MAX(0,D335-H335))</f>
        <v/>
      </c>
      <c r="J335" s="10">
        <f>IF(OR(A335="",D335=0),"",H335/D335)</f>
        <v/>
      </c>
    </row>
    <row r="336">
      <c r="D336" s="7" t="n"/>
      <c r="E336" s="17" t="n"/>
      <c r="F336" s="7" t="n"/>
      <c r="G336" s="4" t="n"/>
      <c r="H336" s="7">
        <f>IF(A336="","",SUMIFS(Платежи!$C:$C,Платежи!$B:$B,A336))</f>
        <v/>
      </c>
      <c r="I336" s="7">
        <f>IF(A336="","",MAX(0,D336-H336))</f>
        <v/>
      </c>
      <c r="J336" s="10">
        <f>IF(OR(A336="",D336=0),"",H336/D336)</f>
        <v/>
      </c>
    </row>
    <row r="337">
      <c r="D337" s="7" t="n"/>
      <c r="E337" s="17" t="n"/>
      <c r="F337" s="7" t="n"/>
      <c r="G337" s="4" t="n"/>
      <c r="H337" s="7">
        <f>IF(A337="","",SUMIFS(Платежи!$C:$C,Платежи!$B:$B,A337))</f>
        <v/>
      </c>
      <c r="I337" s="7">
        <f>IF(A337="","",MAX(0,D337-H337))</f>
        <v/>
      </c>
      <c r="J337" s="10">
        <f>IF(OR(A337="",D337=0),"",H337/D337)</f>
        <v/>
      </c>
    </row>
    <row r="338">
      <c r="D338" s="7" t="n"/>
      <c r="E338" s="17" t="n"/>
      <c r="F338" s="7" t="n"/>
      <c r="G338" s="4" t="n"/>
      <c r="H338" s="7">
        <f>IF(A338="","",SUMIFS(Платежи!$C:$C,Платежи!$B:$B,A338))</f>
        <v/>
      </c>
      <c r="I338" s="7">
        <f>IF(A338="","",MAX(0,D338-H338))</f>
        <v/>
      </c>
      <c r="J338" s="10">
        <f>IF(OR(A338="",D338=0),"",H338/D338)</f>
        <v/>
      </c>
    </row>
    <row r="339">
      <c r="D339" s="7" t="n"/>
      <c r="E339" s="17" t="n"/>
      <c r="F339" s="7" t="n"/>
      <c r="G339" s="4" t="n"/>
      <c r="H339" s="7">
        <f>IF(A339="","",SUMIFS(Платежи!$C:$C,Платежи!$B:$B,A339))</f>
        <v/>
      </c>
      <c r="I339" s="7">
        <f>IF(A339="","",MAX(0,D339-H339))</f>
        <v/>
      </c>
      <c r="J339" s="10">
        <f>IF(OR(A339="",D339=0),"",H339/D339)</f>
        <v/>
      </c>
    </row>
    <row r="340">
      <c r="D340" s="7" t="n"/>
      <c r="E340" s="17" t="n"/>
      <c r="F340" s="7" t="n"/>
      <c r="G340" s="4" t="n"/>
      <c r="H340" s="7">
        <f>IF(A340="","",SUMIFS(Платежи!$C:$C,Платежи!$B:$B,A340))</f>
        <v/>
      </c>
      <c r="I340" s="7">
        <f>IF(A340="","",MAX(0,D340-H340))</f>
        <v/>
      </c>
      <c r="J340" s="10">
        <f>IF(OR(A340="",D340=0),"",H340/D340)</f>
        <v/>
      </c>
    </row>
    <row r="341">
      <c r="D341" s="7" t="n"/>
      <c r="E341" s="17" t="n"/>
      <c r="F341" s="7" t="n"/>
      <c r="G341" s="4" t="n"/>
      <c r="H341" s="7">
        <f>IF(A341="","",SUMIFS(Платежи!$C:$C,Платежи!$B:$B,A341))</f>
        <v/>
      </c>
      <c r="I341" s="7">
        <f>IF(A341="","",MAX(0,D341-H341))</f>
        <v/>
      </c>
      <c r="J341" s="10">
        <f>IF(OR(A341="",D341=0),"",H341/D341)</f>
        <v/>
      </c>
    </row>
    <row r="342">
      <c r="D342" s="7" t="n"/>
      <c r="E342" s="17" t="n"/>
      <c r="F342" s="7" t="n"/>
      <c r="G342" s="4" t="n"/>
      <c r="H342" s="7">
        <f>IF(A342="","",SUMIFS(Платежи!$C:$C,Платежи!$B:$B,A342))</f>
        <v/>
      </c>
      <c r="I342" s="7">
        <f>IF(A342="","",MAX(0,D342-H342))</f>
        <v/>
      </c>
      <c r="J342" s="10">
        <f>IF(OR(A342="",D342=0),"",H342/D342)</f>
        <v/>
      </c>
    </row>
    <row r="343">
      <c r="D343" s="7" t="n"/>
      <c r="E343" s="17" t="n"/>
      <c r="F343" s="7" t="n"/>
      <c r="G343" s="4" t="n"/>
      <c r="H343" s="7">
        <f>IF(A343="","",SUMIFS(Платежи!$C:$C,Платежи!$B:$B,A343))</f>
        <v/>
      </c>
      <c r="I343" s="7">
        <f>IF(A343="","",MAX(0,D343-H343))</f>
        <v/>
      </c>
      <c r="J343" s="10">
        <f>IF(OR(A343="",D343=0),"",H343/D343)</f>
        <v/>
      </c>
    </row>
    <row r="344">
      <c r="D344" s="7" t="n"/>
      <c r="E344" s="17" t="n"/>
      <c r="F344" s="7" t="n"/>
      <c r="G344" s="4" t="n"/>
      <c r="H344" s="7">
        <f>IF(A344="","",SUMIFS(Платежи!$C:$C,Платежи!$B:$B,A344))</f>
        <v/>
      </c>
      <c r="I344" s="7">
        <f>IF(A344="","",MAX(0,D344-H344))</f>
        <v/>
      </c>
      <c r="J344" s="10">
        <f>IF(OR(A344="",D344=0),"",H344/D344)</f>
        <v/>
      </c>
    </row>
    <row r="345">
      <c r="D345" s="7" t="n"/>
      <c r="E345" s="17" t="n"/>
      <c r="F345" s="7" t="n"/>
      <c r="G345" s="4" t="n"/>
      <c r="H345" s="7">
        <f>IF(A345="","",SUMIFS(Платежи!$C:$C,Платежи!$B:$B,A345))</f>
        <v/>
      </c>
      <c r="I345" s="7">
        <f>IF(A345="","",MAX(0,D345-H345))</f>
        <v/>
      </c>
      <c r="J345" s="10">
        <f>IF(OR(A345="",D345=0),"",H345/D345)</f>
        <v/>
      </c>
    </row>
    <row r="346">
      <c r="D346" s="7" t="n"/>
      <c r="E346" s="17" t="n"/>
      <c r="F346" s="7" t="n"/>
      <c r="G346" s="4" t="n"/>
      <c r="H346" s="7">
        <f>IF(A346="","",SUMIFS(Платежи!$C:$C,Платежи!$B:$B,A346))</f>
        <v/>
      </c>
      <c r="I346" s="7">
        <f>IF(A346="","",MAX(0,D346-H346))</f>
        <v/>
      </c>
      <c r="J346" s="10">
        <f>IF(OR(A346="",D346=0),"",H346/D346)</f>
        <v/>
      </c>
    </row>
    <row r="347">
      <c r="D347" s="7" t="n"/>
      <c r="E347" s="17" t="n"/>
      <c r="F347" s="7" t="n"/>
      <c r="G347" s="4" t="n"/>
      <c r="H347" s="7">
        <f>IF(A347="","",SUMIFS(Платежи!$C:$C,Платежи!$B:$B,A347))</f>
        <v/>
      </c>
      <c r="I347" s="7">
        <f>IF(A347="","",MAX(0,D347-H347))</f>
        <v/>
      </c>
      <c r="J347" s="10">
        <f>IF(OR(A347="",D347=0),"",H347/D347)</f>
        <v/>
      </c>
    </row>
    <row r="348">
      <c r="D348" s="7" t="n"/>
      <c r="E348" s="17" t="n"/>
      <c r="F348" s="7" t="n"/>
      <c r="G348" s="4" t="n"/>
      <c r="H348" s="7">
        <f>IF(A348="","",SUMIFS(Платежи!$C:$C,Платежи!$B:$B,A348))</f>
        <v/>
      </c>
      <c r="I348" s="7">
        <f>IF(A348="","",MAX(0,D348-H348))</f>
        <v/>
      </c>
      <c r="J348" s="10">
        <f>IF(OR(A348="",D348=0),"",H348/D348)</f>
        <v/>
      </c>
    </row>
    <row r="349">
      <c r="D349" s="7" t="n"/>
      <c r="E349" s="17" t="n"/>
      <c r="F349" s="7" t="n"/>
      <c r="G349" s="4" t="n"/>
      <c r="H349" s="7">
        <f>IF(A349="","",SUMIFS(Платежи!$C:$C,Платежи!$B:$B,A349))</f>
        <v/>
      </c>
      <c r="I349" s="7">
        <f>IF(A349="","",MAX(0,D349-H349))</f>
        <v/>
      </c>
      <c r="J349" s="10">
        <f>IF(OR(A349="",D349=0),"",H349/D349)</f>
        <v/>
      </c>
    </row>
    <row r="350">
      <c r="D350" s="7" t="n"/>
      <c r="E350" s="17" t="n"/>
      <c r="F350" s="7" t="n"/>
      <c r="G350" s="4" t="n"/>
      <c r="H350" s="7">
        <f>IF(A350="","",SUMIFS(Платежи!$C:$C,Платежи!$B:$B,A350))</f>
        <v/>
      </c>
      <c r="I350" s="7">
        <f>IF(A350="","",MAX(0,D350-H350))</f>
        <v/>
      </c>
      <c r="J350" s="10">
        <f>IF(OR(A350="",D350=0),"",H350/D350)</f>
        <v/>
      </c>
    </row>
    <row r="351">
      <c r="D351" s="7" t="n"/>
      <c r="E351" s="17" t="n"/>
      <c r="F351" s="7" t="n"/>
      <c r="G351" s="4" t="n"/>
      <c r="H351" s="7">
        <f>IF(A351="","",SUMIFS(Платежи!$C:$C,Платежи!$B:$B,A351))</f>
        <v/>
      </c>
      <c r="I351" s="7">
        <f>IF(A351="","",MAX(0,D351-H351))</f>
        <v/>
      </c>
      <c r="J351" s="10">
        <f>IF(OR(A351="",D351=0),"",H351/D351)</f>
        <v/>
      </c>
    </row>
    <row r="352">
      <c r="D352" s="7" t="n"/>
      <c r="E352" s="17" t="n"/>
      <c r="F352" s="7" t="n"/>
      <c r="G352" s="4" t="n"/>
      <c r="H352" s="7">
        <f>IF(A352="","",SUMIFS(Платежи!$C:$C,Платежи!$B:$B,A352))</f>
        <v/>
      </c>
      <c r="I352" s="7">
        <f>IF(A352="","",MAX(0,D352-H352))</f>
        <v/>
      </c>
      <c r="J352" s="10">
        <f>IF(OR(A352="",D352=0),"",H352/D352)</f>
        <v/>
      </c>
    </row>
    <row r="353">
      <c r="D353" s="7" t="n"/>
      <c r="E353" s="17" t="n"/>
      <c r="F353" s="7" t="n"/>
      <c r="G353" s="4" t="n"/>
      <c r="H353" s="7">
        <f>IF(A353="","",SUMIFS(Платежи!$C:$C,Платежи!$B:$B,A353))</f>
        <v/>
      </c>
      <c r="I353" s="7">
        <f>IF(A353="","",MAX(0,D353-H353))</f>
        <v/>
      </c>
      <c r="J353" s="10">
        <f>IF(OR(A353="",D353=0),"",H353/D353)</f>
        <v/>
      </c>
    </row>
    <row r="354">
      <c r="D354" s="7" t="n"/>
      <c r="E354" s="17" t="n"/>
      <c r="F354" s="7" t="n"/>
      <c r="G354" s="4" t="n"/>
      <c r="H354" s="7">
        <f>IF(A354="","",SUMIFS(Платежи!$C:$C,Платежи!$B:$B,A354))</f>
        <v/>
      </c>
      <c r="I354" s="7">
        <f>IF(A354="","",MAX(0,D354-H354))</f>
        <v/>
      </c>
      <c r="J354" s="10">
        <f>IF(OR(A354="",D354=0),"",H354/D354)</f>
        <v/>
      </c>
    </row>
    <row r="355">
      <c r="D355" s="7" t="n"/>
      <c r="E355" s="17" t="n"/>
      <c r="F355" s="7" t="n"/>
      <c r="G355" s="4" t="n"/>
      <c r="H355" s="7">
        <f>IF(A355="","",SUMIFS(Платежи!$C:$C,Платежи!$B:$B,A355))</f>
        <v/>
      </c>
      <c r="I355" s="7">
        <f>IF(A355="","",MAX(0,D355-H355))</f>
        <v/>
      </c>
      <c r="J355" s="10">
        <f>IF(OR(A355="",D355=0),"",H355/D355)</f>
        <v/>
      </c>
    </row>
    <row r="356">
      <c r="D356" s="7" t="n"/>
      <c r="E356" s="17" t="n"/>
      <c r="F356" s="7" t="n"/>
      <c r="G356" s="4" t="n"/>
      <c r="H356" s="7">
        <f>IF(A356="","",SUMIFS(Платежи!$C:$C,Платежи!$B:$B,A356))</f>
        <v/>
      </c>
      <c r="I356" s="7">
        <f>IF(A356="","",MAX(0,D356-H356))</f>
        <v/>
      </c>
      <c r="J356" s="10">
        <f>IF(OR(A356="",D356=0),"",H356/D356)</f>
        <v/>
      </c>
    </row>
    <row r="357">
      <c r="D357" s="7" t="n"/>
      <c r="E357" s="17" t="n"/>
      <c r="F357" s="7" t="n"/>
      <c r="G357" s="4" t="n"/>
      <c r="H357" s="7">
        <f>IF(A357="","",SUMIFS(Платежи!$C:$C,Платежи!$B:$B,A357))</f>
        <v/>
      </c>
      <c r="I357" s="7">
        <f>IF(A357="","",MAX(0,D357-H357))</f>
        <v/>
      </c>
      <c r="J357" s="10">
        <f>IF(OR(A357="",D357=0),"",H357/D357)</f>
        <v/>
      </c>
    </row>
    <row r="358">
      <c r="D358" s="7" t="n"/>
      <c r="E358" s="17" t="n"/>
      <c r="F358" s="7" t="n"/>
      <c r="G358" s="4" t="n"/>
      <c r="H358" s="7">
        <f>IF(A358="","",SUMIFS(Платежи!$C:$C,Платежи!$B:$B,A358))</f>
        <v/>
      </c>
      <c r="I358" s="7">
        <f>IF(A358="","",MAX(0,D358-H358))</f>
        <v/>
      </c>
      <c r="J358" s="10">
        <f>IF(OR(A358="",D358=0),"",H358/D358)</f>
        <v/>
      </c>
    </row>
    <row r="359">
      <c r="D359" s="7" t="n"/>
      <c r="E359" s="17" t="n"/>
      <c r="F359" s="7" t="n"/>
      <c r="G359" s="4" t="n"/>
      <c r="H359" s="7">
        <f>IF(A359="","",SUMIFS(Платежи!$C:$C,Платежи!$B:$B,A359))</f>
        <v/>
      </c>
      <c r="I359" s="7">
        <f>IF(A359="","",MAX(0,D359-H359))</f>
        <v/>
      </c>
      <c r="J359" s="10">
        <f>IF(OR(A359="",D359=0),"",H359/D359)</f>
        <v/>
      </c>
    </row>
    <row r="360">
      <c r="D360" s="7" t="n"/>
      <c r="E360" s="17" t="n"/>
      <c r="F360" s="7" t="n"/>
      <c r="G360" s="4" t="n"/>
      <c r="H360" s="7">
        <f>IF(A360="","",SUMIFS(Платежи!$C:$C,Платежи!$B:$B,A360))</f>
        <v/>
      </c>
      <c r="I360" s="7">
        <f>IF(A360="","",MAX(0,D360-H360))</f>
        <v/>
      </c>
      <c r="J360" s="10">
        <f>IF(OR(A360="",D360=0),"",H360/D360)</f>
        <v/>
      </c>
    </row>
    <row r="361">
      <c r="D361" s="7" t="n"/>
      <c r="E361" s="17" t="n"/>
      <c r="F361" s="7" t="n"/>
      <c r="G361" s="4" t="n"/>
      <c r="H361" s="7">
        <f>IF(A361="","",SUMIFS(Платежи!$C:$C,Платежи!$B:$B,A361))</f>
        <v/>
      </c>
      <c r="I361" s="7">
        <f>IF(A361="","",MAX(0,D361-H361))</f>
        <v/>
      </c>
      <c r="J361" s="10">
        <f>IF(OR(A361="",D361=0),"",H361/D361)</f>
        <v/>
      </c>
    </row>
    <row r="362">
      <c r="D362" s="7" t="n"/>
      <c r="E362" s="17" t="n"/>
      <c r="F362" s="7" t="n"/>
      <c r="G362" s="4" t="n"/>
      <c r="H362" s="7">
        <f>IF(A362="","",SUMIFS(Платежи!$C:$C,Платежи!$B:$B,A362))</f>
        <v/>
      </c>
      <c r="I362" s="7">
        <f>IF(A362="","",MAX(0,D362-H362))</f>
        <v/>
      </c>
      <c r="J362" s="10">
        <f>IF(OR(A362="",D362=0),"",H362/D362)</f>
        <v/>
      </c>
    </row>
    <row r="363">
      <c r="D363" s="7" t="n"/>
      <c r="E363" s="17" t="n"/>
      <c r="F363" s="7" t="n"/>
      <c r="G363" s="4" t="n"/>
      <c r="H363" s="7">
        <f>IF(A363="","",SUMIFS(Платежи!$C:$C,Платежи!$B:$B,A363))</f>
        <v/>
      </c>
      <c r="I363" s="7">
        <f>IF(A363="","",MAX(0,D363-H363))</f>
        <v/>
      </c>
      <c r="J363" s="10">
        <f>IF(OR(A363="",D363=0),"",H363/D363)</f>
        <v/>
      </c>
    </row>
    <row r="364">
      <c r="D364" s="7" t="n"/>
      <c r="E364" s="17" t="n"/>
      <c r="F364" s="7" t="n"/>
      <c r="G364" s="4" t="n"/>
      <c r="H364" s="7">
        <f>IF(A364="","",SUMIFS(Платежи!$C:$C,Платежи!$B:$B,A364))</f>
        <v/>
      </c>
      <c r="I364" s="7">
        <f>IF(A364="","",MAX(0,D364-H364))</f>
        <v/>
      </c>
      <c r="J364" s="10">
        <f>IF(OR(A364="",D364=0),"",H364/D364)</f>
        <v/>
      </c>
    </row>
    <row r="365">
      <c r="D365" s="7" t="n"/>
      <c r="E365" s="17" t="n"/>
      <c r="F365" s="7" t="n"/>
      <c r="G365" s="4" t="n"/>
      <c r="H365" s="7">
        <f>IF(A365="","",SUMIFS(Платежи!$C:$C,Платежи!$B:$B,A365))</f>
        <v/>
      </c>
      <c r="I365" s="7">
        <f>IF(A365="","",MAX(0,D365-H365))</f>
        <v/>
      </c>
      <c r="J365" s="10">
        <f>IF(OR(A365="",D365=0),"",H365/D365)</f>
        <v/>
      </c>
    </row>
    <row r="366">
      <c r="D366" s="7" t="n"/>
      <c r="E366" s="17" t="n"/>
      <c r="F366" s="7" t="n"/>
      <c r="G366" s="4" t="n"/>
      <c r="H366" s="7">
        <f>IF(A366="","",SUMIFS(Платежи!$C:$C,Платежи!$B:$B,A366))</f>
        <v/>
      </c>
      <c r="I366" s="7">
        <f>IF(A366="","",MAX(0,D366-H366))</f>
        <v/>
      </c>
      <c r="J366" s="10">
        <f>IF(OR(A366="",D366=0),"",H366/D366)</f>
        <v/>
      </c>
    </row>
    <row r="367">
      <c r="D367" s="7" t="n"/>
      <c r="E367" s="17" t="n"/>
      <c r="F367" s="7" t="n"/>
      <c r="G367" s="4" t="n"/>
      <c r="H367" s="7">
        <f>IF(A367="","",SUMIFS(Платежи!$C:$C,Платежи!$B:$B,A367))</f>
        <v/>
      </c>
      <c r="I367" s="7">
        <f>IF(A367="","",MAX(0,D367-H367))</f>
        <v/>
      </c>
      <c r="J367" s="10">
        <f>IF(OR(A367="",D367=0),"",H367/D367)</f>
        <v/>
      </c>
    </row>
    <row r="368">
      <c r="D368" s="7" t="n"/>
      <c r="E368" s="17" t="n"/>
      <c r="F368" s="7" t="n"/>
      <c r="G368" s="4" t="n"/>
      <c r="H368" s="7">
        <f>IF(A368="","",SUMIFS(Платежи!$C:$C,Платежи!$B:$B,A368))</f>
        <v/>
      </c>
      <c r="I368" s="7">
        <f>IF(A368="","",MAX(0,D368-H368))</f>
        <v/>
      </c>
      <c r="J368" s="10">
        <f>IF(OR(A368="",D368=0),"",H368/D368)</f>
        <v/>
      </c>
    </row>
    <row r="369">
      <c r="D369" s="7" t="n"/>
      <c r="E369" s="17" t="n"/>
      <c r="F369" s="7" t="n"/>
      <c r="G369" s="4" t="n"/>
      <c r="H369" s="7">
        <f>IF(A369="","",SUMIFS(Платежи!$C:$C,Платежи!$B:$B,A369))</f>
        <v/>
      </c>
      <c r="I369" s="7">
        <f>IF(A369="","",MAX(0,D369-H369))</f>
        <v/>
      </c>
      <c r="J369" s="10">
        <f>IF(OR(A369="",D369=0),"",H369/D369)</f>
        <v/>
      </c>
    </row>
    <row r="370">
      <c r="D370" s="7" t="n"/>
      <c r="E370" s="17" t="n"/>
      <c r="F370" s="7" t="n"/>
      <c r="G370" s="4" t="n"/>
      <c r="H370" s="7">
        <f>IF(A370="","",SUMIFS(Платежи!$C:$C,Платежи!$B:$B,A370))</f>
        <v/>
      </c>
      <c r="I370" s="7">
        <f>IF(A370="","",MAX(0,D370-H370))</f>
        <v/>
      </c>
      <c r="J370" s="10">
        <f>IF(OR(A370="",D370=0),"",H370/D370)</f>
        <v/>
      </c>
    </row>
    <row r="371">
      <c r="D371" s="7" t="n"/>
      <c r="E371" s="17" t="n"/>
      <c r="F371" s="7" t="n"/>
      <c r="G371" s="4" t="n"/>
      <c r="H371" s="7">
        <f>IF(A371="","",SUMIFS(Платежи!$C:$C,Платежи!$B:$B,A371))</f>
        <v/>
      </c>
      <c r="I371" s="7">
        <f>IF(A371="","",MAX(0,D371-H371))</f>
        <v/>
      </c>
      <c r="J371" s="10">
        <f>IF(OR(A371="",D371=0),"",H371/D371)</f>
        <v/>
      </c>
    </row>
    <row r="372">
      <c r="D372" s="7" t="n"/>
      <c r="E372" s="17" t="n"/>
      <c r="F372" s="7" t="n"/>
      <c r="G372" s="4" t="n"/>
      <c r="H372" s="7">
        <f>IF(A372="","",SUMIFS(Платежи!$C:$C,Платежи!$B:$B,A372))</f>
        <v/>
      </c>
      <c r="I372" s="7">
        <f>IF(A372="","",MAX(0,D372-H372))</f>
        <v/>
      </c>
      <c r="J372" s="10">
        <f>IF(OR(A372="",D372=0),"",H372/D372)</f>
        <v/>
      </c>
    </row>
    <row r="373">
      <c r="D373" s="7" t="n"/>
      <c r="E373" s="17" t="n"/>
      <c r="F373" s="7" t="n"/>
      <c r="G373" s="4" t="n"/>
      <c r="H373" s="7">
        <f>IF(A373="","",SUMIFS(Платежи!$C:$C,Платежи!$B:$B,A373))</f>
        <v/>
      </c>
      <c r="I373" s="7">
        <f>IF(A373="","",MAX(0,D373-H373))</f>
        <v/>
      </c>
      <c r="J373" s="10">
        <f>IF(OR(A373="",D373=0),"",H373/D373)</f>
        <v/>
      </c>
    </row>
    <row r="374">
      <c r="D374" s="7" t="n"/>
      <c r="E374" s="17" t="n"/>
      <c r="F374" s="7" t="n"/>
      <c r="G374" s="4" t="n"/>
      <c r="H374" s="7">
        <f>IF(A374="","",SUMIFS(Платежи!$C:$C,Платежи!$B:$B,A374))</f>
        <v/>
      </c>
      <c r="I374" s="7">
        <f>IF(A374="","",MAX(0,D374-H374))</f>
        <v/>
      </c>
      <c r="J374" s="10">
        <f>IF(OR(A374="",D374=0),"",H374/D374)</f>
        <v/>
      </c>
    </row>
    <row r="375">
      <c r="D375" s="7" t="n"/>
      <c r="E375" s="17" t="n"/>
      <c r="F375" s="7" t="n"/>
      <c r="G375" s="4" t="n"/>
      <c r="H375" s="7">
        <f>IF(A375="","",SUMIFS(Платежи!$C:$C,Платежи!$B:$B,A375))</f>
        <v/>
      </c>
      <c r="I375" s="7">
        <f>IF(A375="","",MAX(0,D375-H375))</f>
        <v/>
      </c>
      <c r="J375" s="10">
        <f>IF(OR(A375="",D375=0),"",H375/D375)</f>
        <v/>
      </c>
    </row>
    <row r="376">
      <c r="D376" s="7" t="n"/>
      <c r="E376" s="17" t="n"/>
      <c r="F376" s="7" t="n"/>
      <c r="G376" s="4" t="n"/>
      <c r="H376" s="7">
        <f>IF(A376="","",SUMIFS(Платежи!$C:$C,Платежи!$B:$B,A376))</f>
        <v/>
      </c>
      <c r="I376" s="7">
        <f>IF(A376="","",MAX(0,D376-H376))</f>
        <v/>
      </c>
      <c r="J376" s="10">
        <f>IF(OR(A376="",D376=0),"",H376/D376)</f>
        <v/>
      </c>
    </row>
    <row r="377">
      <c r="D377" s="7" t="n"/>
      <c r="E377" s="17" t="n"/>
      <c r="F377" s="7" t="n"/>
      <c r="G377" s="4" t="n"/>
      <c r="H377" s="7">
        <f>IF(A377="","",SUMIFS(Платежи!$C:$C,Платежи!$B:$B,A377))</f>
        <v/>
      </c>
      <c r="I377" s="7">
        <f>IF(A377="","",MAX(0,D377-H377))</f>
        <v/>
      </c>
      <c r="J377" s="10">
        <f>IF(OR(A377="",D377=0),"",H377/D377)</f>
        <v/>
      </c>
    </row>
    <row r="378">
      <c r="D378" s="7" t="n"/>
      <c r="E378" s="17" t="n"/>
      <c r="F378" s="7" t="n"/>
      <c r="G378" s="4" t="n"/>
      <c r="H378" s="7">
        <f>IF(A378="","",SUMIFS(Платежи!$C:$C,Платежи!$B:$B,A378))</f>
        <v/>
      </c>
      <c r="I378" s="7">
        <f>IF(A378="","",MAX(0,D378-H378))</f>
        <v/>
      </c>
      <c r="J378" s="10">
        <f>IF(OR(A378="",D378=0),"",H378/D378)</f>
        <v/>
      </c>
    </row>
    <row r="379">
      <c r="D379" s="7" t="n"/>
      <c r="E379" s="17" t="n"/>
      <c r="F379" s="7" t="n"/>
      <c r="G379" s="4" t="n"/>
      <c r="H379" s="7">
        <f>IF(A379="","",SUMIFS(Платежи!$C:$C,Платежи!$B:$B,A379))</f>
        <v/>
      </c>
      <c r="I379" s="7">
        <f>IF(A379="","",MAX(0,D379-H379))</f>
        <v/>
      </c>
      <c r="J379" s="10">
        <f>IF(OR(A379="",D379=0),"",H379/D379)</f>
        <v/>
      </c>
    </row>
    <row r="380">
      <c r="D380" s="7" t="n"/>
      <c r="E380" s="17" t="n"/>
      <c r="F380" s="7" t="n"/>
      <c r="G380" s="4" t="n"/>
      <c r="H380" s="7">
        <f>IF(A380="","",SUMIFS(Платежи!$C:$C,Платежи!$B:$B,A380))</f>
        <v/>
      </c>
      <c r="I380" s="7">
        <f>IF(A380="","",MAX(0,D380-H380))</f>
        <v/>
      </c>
      <c r="J380" s="10">
        <f>IF(OR(A380="",D380=0),"",H380/D380)</f>
        <v/>
      </c>
    </row>
    <row r="381">
      <c r="D381" s="7" t="n"/>
      <c r="E381" s="17" t="n"/>
      <c r="F381" s="7" t="n"/>
      <c r="G381" s="4" t="n"/>
      <c r="H381" s="7">
        <f>IF(A381="","",SUMIFS(Платежи!$C:$C,Платежи!$B:$B,A381))</f>
        <v/>
      </c>
      <c r="I381" s="7">
        <f>IF(A381="","",MAX(0,D381-H381))</f>
        <v/>
      </c>
      <c r="J381" s="10">
        <f>IF(OR(A381="",D381=0),"",H381/D381)</f>
        <v/>
      </c>
    </row>
    <row r="382">
      <c r="D382" s="7" t="n"/>
      <c r="E382" s="17" t="n"/>
      <c r="F382" s="7" t="n"/>
      <c r="G382" s="4" t="n"/>
      <c r="H382" s="7">
        <f>IF(A382="","",SUMIFS(Платежи!$C:$C,Платежи!$B:$B,A382))</f>
        <v/>
      </c>
      <c r="I382" s="7">
        <f>IF(A382="","",MAX(0,D382-H382))</f>
        <v/>
      </c>
      <c r="J382" s="10">
        <f>IF(OR(A382="",D382=0),"",H382/D382)</f>
        <v/>
      </c>
    </row>
    <row r="383">
      <c r="D383" s="7" t="n"/>
      <c r="E383" s="17" t="n"/>
      <c r="F383" s="7" t="n"/>
      <c r="G383" s="4" t="n"/>
      <c r="H383" s="7">
        <f>IF(A383="","",SUMIFS(Платежи!$C:$C,Платежи!$B:$B,A383))</f>
        <v/>
      </c>
      <c r="I383" s="7">
        <f>IF(A383="","",MAX(0,D383-H383))</f>
        <v/>
      </c>
      <c r="J383" s="10">
        <f>IF(OR(A383="",D383=0),"",H383/D383)</f>
        <v/>
      </c>
    </row>
    <row r="384">
      <c r="D384" s="7" t="n"/>
      <c r="E384" s="17" t="n"/>
      <c r="F384" s="7" t="n"/>
      <c r="G384" s="4" t="n"/>
      <c r="H384" s="7">
        <f>IF(A384="","",SUMIFS(Платежи!$C:$C,Платежи!$B:$B,A384))</f>
        <v/>
      </c>
      <c r="I384" s="7">
        <f>IF(A384="","",MAX(0,D384-H384))</f>
        <v/>
      </c>
      <c r="J384" s="10">
        <f>IF(OR(A384="",D384=0),"",H384/D384)</f>
        <v/>
      </c>
    </row>
    <row r="385">
      <c r="D385" s="7" t="n"/>
      <c r="E385" s="17" t="n"/>
      <c r="F385" s="7" t="n"/>
      <c r="G385" s="4" t="n"/>
      <c r="H385" s="7">
        <f>IF(A385="","",SUMIFS(Платежи!$C:$C,Платежи!$B:$B,A385))</f>
        <v/>
      </c>
      <c r="I385" s="7">
        <f>IF(A385="","",MAX(0,D385-H385))</f>
        <v/>
      </c>
      <c r="J385" s="10">
        <f>IF(OR(A385="",D385=0),"",H385/D385)</f>
        <v/>
      </c>
    </row>
    <row r="386">
      <c r="D386" s="7" t="n"/>
      <c r="E386" s="17" t="n"/>
      <c r="F386" s="7" t="n"/>
      <c r="G386" s="4" t="n"/>
      <c r="H386" s="7">
        <f>IF(A386="","",SUMIFS(Платежи!$C:$C,Платежи!$B:$B,A386))</f>
        <v/>
      </c>
      <c r="I386" s="7">
        <f>IF(A386="","",MAX(0,D386-H386))</f>
        <v/>
      </c>
      <c r="J386" s="10">
        <f>IF(OR(A386="",D386=0),"",H386/D386)</f>
        <v/>
      </c>
    </row>
    <row r="387">
      <c r="D387" s="7" t="n"/>
      <c r="E387" s="17" t="n"/>
      <c r="F387" s="7" t="n"/>
      <c r="G387" s="4" t="n"/>
      <c r="H387" s="7">
        <f>IF(A387="","",SUMIFS(Платежи!$C:$C,Платежи!$B:$B,A387))</f>
        <v/>
      </c>
      <c r="I387" s="7">
        <f>IF(A387="","",MAX(0,D387-H387))</f>
        <v/>
      </c>
      <c r="J387" s="10">
        <f>IF(OR(A387="",D387=0),"",H387/D387)</f>
        <v/>
      </c>
    </row>
    <row r="388">
      <c r="D388" s="7" t="n"/>
      <c r="E388" s="17" t="n"/>
      <c r="F388" s="7" t="n"/>
      <c r="G388" s="4" t="n"/>
      <c r="H388" s="7">
        <f>IF(A388="","",SUMIFS(Платежи!$C:$C,Платежи!$B:$B,A388))</f>
        <v/>
      </c>
      <c r="I388" s="7">
        <f>IF(A388="","",MAX(0,D388-H388))</f>
        <v/>
      </c>
      <c r="J388" s="10">
        <f>IF(OR(A388="",D388=0),"",H388/D388)</f>
        <v/>
      </c>
    </row>
    <row r="389">
      <c r="D389" s="7" t="n"/>
      <c r="E389" s="17" t="n"/>
      <c r="F389" s="7" t="n"/>
      <c r="G389" s="4" t="n"/>
      <c r="H389" s="7">
        <f>IF(A389="","",SUMIFS(Платежи!$C:$C,Платежи!$B:$B,A389))</f>
        <v/>
      </c>
      <c r="I389" s="7">
        <f>IF(A389="","",MAX(0,D389-H389))</f>
        <v/>
      </c>
      <c r="J389" s="10">
        <f>IF(OR(A389="",D389=0),"",H389/D389)</f>
        <v/>
      </c>
    </row>
    <row r="390">
      <c r="D390" s="7" t="n"/>
      <c r="E390" s="17" t="n"/>
      <c r="F390" s="7" t="n"/>
      <c r="G390" s="4" t="n"/>
      <c r="H390" s="7">
        <f>IF(A390="","",SUMIFS(Платежи!$C:$C,Платежи!$B:$B,A390))</f>
        <v/>
      </c>
      <c r="I390" s="7">
        <f>IF(A390="","",MAX(0,D390-H390))</f>
        <v/>
      </c>
      <c r="J390" s="10">
        <f>IF(OR(A390="",D390=0),"",H390/D390)</f>
        <v/>
      </c>
    </row>
    <row r="391">
      <c r="D391" s="7" t="n"/>
      <c r="E391" s="17" t="n"/>
      <c r="F391" s="7" t="n"/>
      <c r="G391" s="4" t="n"/>
      <c r="H391" s="7">
        <f>IF(A391="","",SUMIFS(Платежи!$C:$C,Платежи!$B:$B,A391))</f>
        <v/>
      </c>
      <c r="I391" s="7">
        <f>IF(A391="","",MAX(0,D391-H391))</f>
        <v/>
      </c>
      <c r="J391" s="10">
        <f>IF(OR(A391="",D391=0),"",H391/D391)</f>
        <v/>
      </c>
    </row>
    <row r="392">
      <c r="D392" s="7" t="n"/>
      <c r="E392" s="17" t="n"/>
      <c r="F392" s="7" t="n"/>
      <c r="G392" s="4" t="n"/>
      <c r="H392" s="7">
        <f>IF(A392="","",SUMIFS(Платежи!$C:$C,Платежи!$B:$B,A392))</f>
        <v/>
      </c>
      <c r="I392" s="7">
        <f>IF(A392="","",MAX(0,D392-H392))</f>
        <v/>
      </c>
      <c r="J392" s="10">
        <f>IF(OR(A392="",D392=0),"",H392/D392)</f>
        <v/>
      </c>
    </row>
    <row r="393">
      <c r="D393" s="7" t="n"/>
      <c r="E393" s="17" t="n"/>
      <c r="F393" s="7" t="n"/>
      <c r="G393" s="4" t="n"/>
      <c r="H393" s="7">
        <f>IF(A393="","",SUMIFS(Платежи!$C:$C,Платежи!$B:$B,A393))</f>
        <v/>
      </c>
      <c r="I393" s="7">
        <f>IF(A393="","",MAX(0,D393-H393))</f>
        <v/>
      </c>
      <c r="J393" s="10">
        <f>IF(OR(A393="",D393=0),"",H393/D393)</f>
        <v/>
      </c>
    </row>
    <row r="394">
      <c r="D394" s="7" t="n"/>
      <c r="E394" s="17" t="n"/>
      <c r="F394" s="7" t="n"/>
      <c r="G394" s="4" t="n"/>
      <c r="H394" s="7">
        <f>IF(A394="","",SUMIFS(Платежи!$C:$C,Платежи!$B:$B,A394))</f>
        <v/>
      </c>
      <c r="I394" s="7">
        <f>IF(A394="","",MAX(0,D394-H394))</f>
        <v/>
      </c>
      <c r="J394" s="10">
        <f>IF(OR(A394="",D394=0),"",H394/D394)</f>
        <v/>
      </c>
    </row>
    <row r="395">
      <c r="D395" s="7" t="n"/>
      <c r="E395" s="17" t="n"/>
      <c r="F395" s="7" t="n"/>
      <c r="G395" s="4" t="n"/>
      <c r="H395" s="7">
        <f>IF(A395="","",SUMIFS(Платежи!$C:$C,Платежи!$B:$B,A395))</f>
        <v/>
      </c>
      <c r="I395" s="7">
        <f>IF(A395="","",MAX(0,D395-H395))</f>
        <v/>
      </c>
      <c r="J395" s="10">
        <f>IF(OR(A395="",D395=0),"",H395/D395)</f>
        <v/>
      </c>
    </row>
    <row r="396">
      <c r="D396" s="7" t="n"/>
      <c r="E396" s="17" t="n"/>
      <c r="F396" s="7" t="n"/>
      <c r="G396" s="4" t="n"/>
      <c r="H396" s="7">
        <f>IF(A396="","",SUMIFS(Платежи!$C:$C,Платежи!$B:$B,A396))</f>
        <v/>
      </c>
      <c r="I396" s="7">
        <f>IF(A396="","",MAX(0,D396-H396))</f>
        <v/>
      </c>
      <c r="J396" s="10">
        <f>IF(OR(A396="",D396=0),"",H396/D396)</f>
        <v/>
      </c>
    </row>
    <row r="397">
      <c r="D397" s="7" t="n"/>
      <c r="E397" s="17" t="n"/>
      <c r="F397" s="7" t="n"/>
      <c r="G397" s="4" t="n"/>
      <c r="H397" s="7">
        <f>IF(A397="","",SUMIFS(Платежи!$C:$C,Платежи!$B:$B,A397))</f>
        <v/>
      </c>
      <c r="I397" s="7">
        <f>IF(A397="","",MAX(0,D397-H397))</f>
        <v/>
      </c>
      <c r="J397" s="10">
        <f>IF(OR(A397="",D397=0),"",H397/D397)</f>
        <v/>
      </c>
    </row>
    <row r="398">
      <c r="D398" s="7" t="n"/>
      <c r="E398" s="17" t="n"/>
      <c r="F398" s="7" t="n"/>
      <c r="G398" s="4" t="n"/>
      <c r="H398" s="7">
        <f>IF(A398="","",SUMIFS(Платежи!$C:$C,Платежи!$B:$B,A398))</f>
        <v/>
      </c>
      <c r="I398" s="7">
        <f>IF(A398="","",MAX(0,D398-H398))</f>
        <v/>
      </c>
      <c r="J398" s="10">
        <f>IF(OR(A398="",D398=0),"",H398/D398)</f>
        <v/>
      </c>
    </row>
    <row r="399">
      <c r="D399" s="7" t="n"/>
      <c r="E399" s="17" t="n"/>
      <c r="F399" s="7" t="n"/>
      <c r="G399" s="4" t="n"/>
      <c r="H399" s="7">
        <f>IF(A399="","",SUMIFS(Платежи!$C:$C,Платежи!$B:$B,A399))</f>
        <v/>
      </c>
      <c r="I399" s="7">
        <f>IF(A399="","",MAX(0,D399-H399))</f>
        <v/>
      </c>
      <c r="J399" s="10">
        <f>IF(OR(A399="",D399=0),"",H399/D399)</f>
        <v/>
      </c>
    </row>
    <row r="400">
      <c r="D400" s="7" t="n"/>
      <c r="E400" s="17" t="n"/>
      <c r="F400" s="7" t="n"/>
      <c r="G400" s="4" t="n"/>
      <c r="H400" s="7">
        <f>IF(A400="","",SUMIFS(Платежи!$C:$C,Платежи!$B:$B,A400))</f>
        <v/>
      </c>
      <c r="I400" s="7">
        <f>IF(A400="","",MAX(0,D400-H400))</f>
        <v/>
      </c>
      <c r="J400" s="10">
        <f>IF(OR(A400="",D400=0),"",H400/D400)</f>
        <v/>
      </c>
    </row>
    <row r="401">
      <c r="D401" s="7" t="n"/>
      <c r="E401" s="17" t="n"/>
      <c r="F401" s="7" t="n"/>
      <c r="G401" s="4" t="n"/>
      <c r="H401" s="7">
        <f>IF(A401="","",SUMIFS(Платежи!$C:$C,Платежи!$B:$B,A401))</f>
        <v/>
      </c>
      <c r="I401" s="7">
        <f>IF(A401="","",MAX(0,D401-H401))</f>
        <v/>
      </c>
      <c r="J401" s="10">
        <f>IF(OR(A401="",D401=0),"",H401/D401)</f>
        <v/>
      </c>
    </row>
    <row r="402">
      <c r="D402" s="7" t="n"/>
      <c r="E402" s="17" t="n"/>
      <c r="F402" s="7" t="n"/>
      <c r="G402" s="4" t="n"/>
      <c r="H402" s="7">
        <f>IF(A402="","",SUMIFS(Платежи!$C:$C,Платежи!$B:$B,A402))</f>
        <v/>
      </c>
      <c r="I402" s="7">
        <f>IF(A402="","",MAX(0,D402-H402))</f>
        <v/>
      </c>
      <c r="J402" s="10">
        <f>IF(OR(A402="",D402=0),"",H402/D402)</f>
        <v/>
      </c>
    </row>
    <row r="403">
      <c r="D403" s="7" t="n"/>
      <c r="E403" s="17" t="n"/>
      <c r="F403" s="7" t="n"/>
      <c r="G403" s="4" t="n"/>
      <c r="H403" s="7">
        <f>IF(A403="","",SUMIFS(Платежи!$C:$C,Платежи!$B:$B,A403))</f>
        <v/>
      </c>
      <c r="I403" s="7">
        <f>IF(A403="","",MAX(0,D403-H403))</f>
        <v/>
      </c>
      <c r="J403" s="10">
        <f>IF(OR(A403="",D403=0),"",H403/D403)</f>
        <v/>
      </c>
    </row>
    <row r="404">
      <c r="D404" s="7" t="n"/>
      <c r="E404" s="17" t="n"/>
      <c r="F404" s="7" t="n"/>
      <c r="G404" s="4" t="n"/>
      <c r="H404" s="7">
        <f>IF(A404="","",SUMIFS(Платежи!$C:$C,Платежи!$B:$B,A404))</f>
        <v/>
      </c>
      <c r="I404" s="7">
        <f>IF(A404="","",MAX(0,D404-H404))</f>
        <v/>
      </c>
      <c r="J404" s="10">
        <f>IF(OR(A404="",D404=0),"",H404/D404)</f>
        <v/>
      </c>
    </row>
    <row r="405">
      <c r="D405" s="7" t="n"/>
      <c r="E405" s="17" t="n"/>
      <c r="F405" s="7" t="n"/>
      <c r="G405" s="4" t="n"/>
      <c r="H405" s="7">
        <f>IF(A405="","",SUMIFS(Платежи!$C:$C,Платежи!$B:$B,A405))</f>
        <v/>
      </c>
      <c r="I405" s="7">
        <f>IF(A405="","",MAX(0,D405-H405))</f>
        <v/>
      </c>
      <c r="J405" s="10">
        <f>IF(OR(A405="",D405=0),"",H405/D405)</f>
        <v/>
      </c>
    </row>
    <row r="406">
      <c r="D406" s="7" t="n"/>
      <c r="E406" s="17" t="n"/>
      <c r="F406" s="7" t="n"/>
      <c r="G406" s="4" t="n"/>
      <c r="H406" s="7">
        <f>IF(A406="","",SUMIFS(Платежи!$C:$C,Платежи!$B:$B,A406))</f>
        <v/>
      </c>
      <c r="I406" s="7">
        <f>IF(A406="","",MAX(0,D406-H406))</f>
        <v/>
      </c>
      <c r="J406" s="10">
        <f>IF(OR(A406="",D406=0),"",H406/D406)</f>
        <v/>
      </c>
    </row>
    <row r="407">
      <c r="D407" s="7" t="n"/>
      <c r="E407" s="17" t="n"/>
      <c r="F407" s="7" t="n"/>
      <c r="G407" s="4" t="n"/>
      <c r="H407" s="7">
        <f>IF(A407="","",SUMIFS(Платежи!$C:$C,Платежи!$B:$B,A407))</f>
        <v/>
      </c>
      <c r="I407" s="7">
        <f>IF(A407="","",MAX(0,D407-H407))</f>
        <v/>
      </c>
      <c r="J407" s="10">
        <f>IF(OR(A407="",D407=0),"",H407/D407)</f>
        <v/>
      </c>
    </row>
    <row r="408">
      <c r="D408" s="7" t="n"/>
      <c r="E408" s="17" t="n"/>
      <c r="F408" s="7" t="n"/>
      <c r="G408" s="4" t="n"/>
      <c r="H408" s="7">
        <f>IF(A408="","",SUMIFS(Платежи!$C:$C,Платежи!$B:$B,A408))</f>
        <v/>
      </c>
      <c r="I408" s="7">
        <f>IF(A408="","",MAX(0,D408-H408))</f>
        <v/>
      </c>
      <c r="J408" s="10">
        <f>IF(OR(A408="",D408=0),"",H408/D408)</f>
        <v/>
      </c>
    </row>
    <row r="409">
      <c r="D409" s="7" t="n"/>
      <c r="E409" s="17" t="n"/>
      <c r="F409" s="7" t="n"/>
      <c r="G409" s="4" t="n"/>
      <c r="H409" s="7">
        <f>IF(A409="","",SUMIFS(Платежи!$C:$C,Платежи!$B:$B,A409))</f>
        <v/>
      </c>
      <c r="I409" s="7">
        <f>IF(A409="","",MAX(0,D409-H409))</f>
        <v/>
      </c>
      <c r="J409" s="10">
        <f>IF(OR(A409="",D409=0),"",H409/D409)</f>
        <v/>
      </c>
    </row>
    <row r="410">
      <c r="D410" s="7" t="n"/>
      <c r="E410" s="17" t="n"/>
      <c r="F410" s="7" t="n"/>
      <c r="G410" s="4" t="n"/>
      <c r="H410" s="7">
        <f>IF(A410="","",SUMIFS(Платежи!$C:$C,Платежи!$B:$B,A410))</f>
        <v/>
      </c>
      <c r="I410" s="7">
        <f>IF(A410="","",MAX(0,D410-H410))</f>
        <v/>
      </c>
      <c r="J410" s="10">
        <f>IF(OR(A410="",D410=0),"",H410/D410)</f>
        <v/>
      </c>
    </row>
    <row r="411">
      <c r="D411" s="7" t="n"/>
      <c r="E411" s="17" t="n"/>
      <c r="F411" s="7" t="n"/>
      <c r="G411" s="4" t="n"/>
      <c r="H411" s="7">
        <f>IF(A411="","",SUMIFS(Платежи!$C:$C,Платежи!$B:$B,A411))</f>
        <v/>
      </c>
      <c r="I411" s="7">
        <f>IF(A411="","",MAX(0,D411-H411))</f>
        <v/>
      </c>
      <c r="J411" s="10">
        <f>IF(OR(A411="",D411=0),"",H411/D411)</f>
        <v/>
      </c>
    </row>
    <row r="412">
      <c r="D412" s="7" t="n"/>
      <c r="E412" s="17" t="n"/>
      <c r="F412" s="7" t="n"/>
      <c r="G412" s="4" t="n"/>
      <c r="H412" s="7">
        <f>IF(A412="","",SUMIFS(Платежи!$C:$C,Платежи!$B:$B,A412))</f>
        <v/>
      </c>
      <c r="I412" s="7">
        <f>IF(A412="","",MAX(0,D412-H412))</f>
        <v/>
      </c>
      <c r="J412" s="10">
        <f>IF(OR(A412="",D412=0),"",H412/D412)</f>
        <v/>
      </c>
    </row>
    <row r="413">
      <c r="D413" s="7" t="n"/>
      <c r="E413" s="17" t="n"/>
      <c r="F413" s="7" t="n"/>
      <c r="G413" s="4" t="n"/>
      <c r="H413" s="7">
        <f>IF(A413="","",SUMIFS(Платежи!$C:$C,Платежи!$B:$B,A413))</f>
        <v/>
      </c>
      <c r="I413" s="7">
        <f>IF(A413="","",MAX(0,D413-H413))</f>
        <v/>
      </c>
      <c r="J413" s="10">
        <f>IF(OR(A413="",D413=0),"",H413/D413)</f>
        <v/>
      </c>
    </row>
    <row r="414">
      <c r="D414" s="7" t="n"/>
      <c r="E414" s="17" t="n"/>
      <c r="F414" s="7" t="n"/>
      <c r="G414" s="4" t="n"/>
      <c r="H414" s="7">
        <f>IF(A414="","",SUMIFS(Платежи!$C:$C,Платежи!$B:$B,A414))</f>
        <v/>
      </c>
      <c r="I414" s="7">
        <f>IF(A414="","",MAX(0,D414-H414))</f>
        <v/>
      </c>
      <c r="J414" s="10">
        <f>IF(OR(A414="",D414=0),"",H414/D414)</f>
        <v/>
      </c>
    </row>
    <row r="415">
      <c r="D415" s="7" t="n"/>
      <c r="E415" s="17" t="n"/>
      <c r="F415" s="7" t="n"/>
      <c r="G415" s="4" t="n"/>
      <c r="H415" s="7">
        <f>IF(A415="","",SUMIFS(Платежи!$C:$C,Платежи!$B:$B,A415))</f>
        <v/>
      </c>
      <c r="I415" s="7">
        <f>IF(A415="","",MAX(0,D415-H415))</f>
        <v/>
      </c>
      <c r="J415" s="10">
        <f>IF(OR(A415="",D415=0),"",H415/D415)</f>
        <v/>
      </c>
    </row>
    <row r="416">
      <c r="D416" s="7" t="n"/>
      <c r="E416" s="17" t="n"/>
      <c r="F416" s="7" t="n"/>
      <c r="G416" s="4" t="n"/>
      <c r="H416" s="7">
        <f>IF(A416="","",SUMIFS(Платежи!$C:$C,Платежи!$B:$B,A416))</f>
        <v/>
      </c>
      <c r="I416" s="7">
        <f>IF(A416="","",MAX(0,D416-H416))</f>
        <v/>
      </c>
      <c r="J416" s="10">
        <f>IF(OR(A416="",D416=0),"",H416/D416)</f>
        <v/>
      </c>
    </row>
    <row r="417">
      <c r="D417" s="7" t="n"/>
      <c r="E417" s="17" t="n"/>
      <c r="F417" s="7" t="n"/>
      <c r="G417" s="4" t="n"/>
      <c r="H417" s="7">
        <f>IF(A417="","",SUMIFS(Платежи!$C:$C,Платежи!$B:$B,A417))</f>
        <v/>
      </c>
      <c r="I417" s="7">
        <f>IF(A417="","",MAX(0,D417-H417))</f>
        <v/>
      </c>
      <c r="J417" s="10">
        <f>IF(OR(A417="",D417=0),"",H417/D417)</f>
        <v/>
      </c>
    </row>
    <row r="418">
      <c r="D418" s="7" t="n"/>
      <c r="E418" s="17" t="n"/>
      <c r="F418" s="7" t="n"/>
      <c r="G418" s="4" t="n"/>
      <c r="H418" s="7">
        <f>IF(A418="","",SUMIFS(Платежи!$C:$C,Платежи!$B:$B,A418))</f>
        <v/>
      </c>
      <c r="I418" s="7">
        <f>IF(A418="","",MAX(0,D418-H418))</f>
        <v/>
      </c>
      <c r="J418" s="10">
        <f>IF(OR(A418="",D418=0),"",H418/D418)</f>
        <v/>
      </c>
    </row>
    <row r="419">
      <c r="D419" s="7" t="n"/>
      <c r="E419" s="17" t="n"/>
      <c r="F419" s="7" t="n"/>
      <c r="G419" s="4" t="n"/>
      <c r="H419" s="7">
        <f>IF(A419="","",SUMIFS(Платежи!$C:$C,Платежи!$B:$B,A419))</f>
        <v/>
      </c>
      <c r="I419" s="7">
        <f>IF(A419="","",MAX(0,D419-H419))</f>
        <v/>
      </c>
      <c r="J419" s="10">
        <f>IF(OR(A419="",D419=0),"",H419/D419)</f>
        <v/>
      </c>
    </row>
    <row r="420">
      <c r="D420" s="7" t="n"/>
      <c r="E420" s="17" t="n"/>
      <c r="F420" s="7" t="n"/>
      <c r="G420" s="4" t="n"/>
      <c r="H420" s="7">
        <f>IF(A420="","",SUMIFS(Платежи!$C:$C,Платежи!$B:$B,A420))</f>
        <v/>
      </c>
      <c r="I420" s="7">
        <f>IF(A420="","",MAX(0,D420-H420))</f>
        <v/>
      </c>
      <c r="J420" s="10">
        <f>IF(OR(A420="",D420=0),"",H420/D420)</f>
        <v/>
      </c>
    </row>
    <row r="421">
      <c r="D421" s="7" t="n"/>
      <c r="E421" s="17" t="n"/>
      <c r="F421" s="7" t="n"/>
      <c r="G421" s="4" t="n"/>
      <c r="H421" s="7">
        <f>IF(A421="","",SUMIFS(Платежи!$C:$C,Платежи!$B:$B,A421))</f>
        <v/>
      </c>
      <c r="I421" s="7">
        <f>IF(A421="","",MAX(0,D421-H421))</f>
        <v/>
      </c>
      <c r="J421" s="10">
        <f>IF(OR(A421="",D421=0),"",H421/D421)</f>
        <v/>
      </c>
    </row>
    <row r="422">
      <c r="D422" s="7" t="n"/>
      <c r="E422" s="17" t="n"/>
      <c r="F422" s="7" t="n"/>
      <c r="G422" s="4" t="n"/>
      <c r="H422" s="7">
        <f>IF(A422="","",SUMIFS(Платежи!$C:$C,Платежи!$B:$B,A422))</f>
        <v/>
      </c>
      <c r="I422" s="7">
        <f>IF(A422="","",MAX(0,D422-H422))</f>
        <v/>
      </c>
      <c r="J422" s="10">
        <f>IF(OR(A422="",D422=0),"",H422/D422)</f>
        <v/>
      </c>
    </row>
    <row r="423">
      <c r="D423" s="7" t="n"/>
      <c r="E423" s="17" t="n"/>
      <c r="F423" s="7" t="n"/>
      <c r="G423" s="4" t="n"/>
      <c r="H423" s="7">
        <f>IF(A423="","",SUMIFS(Платежи!$C:$C,Платежи!$B:$B,A423))</f>
        <v/>
      </c>
      <c r="I423" s="7">
        <f>IF(A423="","",MAX(0,D423-H423))</f>
        <v/>
      </c>
      <c r="J423" s="10">
        <f>IF(OR(A423="",D423=0),"",H423/D423)</f>
        <v/>
      </c>
    </row>
    <row r="424">
      <c r="D424" s="7" t="n"/>
      <c r="E424" s="17" t="n"/>
      <c r="F424" s="7" t="n"/>
      <c r="G424" s="4" t="n"/>
      <c r="H424" s="7">
        <f>IF(A424="","",SUMIFS(Платежи!$C:$C,Платежи!$B:$B,A424))</f>
        <v/>
      </c>
      <c r="I424" s="7">
        <f>IF(A424="","",MAX(0,D424-H424))</f>
        <v/>
      </c>
      <c r="J424" s="10">
        <f>IF(OR(A424="",D424=0),"",H424/D424)</f>
        <v/>
      </c>
    </row>
    <row r="425">
      <c r="D425" s="7" t="n"/>
      <c r="E425" s="17" t="n"/>
      <c r="F425" s="7" t="n"/>
      <c r="G425" s="4" t="n"/>
      <c r="H425" s="7">
        <f>IF(A425="","",SUMIFS(Платежи!$C:$C,Платежи!$B:$B,A425))</f>
        <v/>
      </c>
      <c r="I425" s="7">
        <f>IF(A425="","",MAX(0,D425-H425))</f>
        <v/>
      </c>
      <c r="J425" s="10">
        <f>IF(OR(A425="",D425=0),"",H425/D425)</f>
        <v/>
      </c>
    </row>
    <row r="426">
      <c r="D426" s="7" t="n"/>
      <c r="E426" s="17" t="n"/>
      <c r="F426" s="7" t="n"/>
      <c r="G426" s="4" t="n"/>
      <c r="H426" s="7">
        <f>IF(A426="","",SUMIFS(Платежи!$C:$C,Платежи!$B:$B,A426))</f>
        <v/>
      </c>
      <c r="I426" s="7">
        <f>IF(A426="","",MAX(0,D426-H426))</f>
        <v/>
      </c>
      <c r="J426" s="10">
        <f>IF(OR(A426="",D426=0),"",H426/D426)</f>
        <v/>
      </c>
    </row>
    <row r="427">
      <c r="D427" s="7" t="n"/>
      <c r="E427" s="17" t="n"/>
      <c r="F427" s="7" t="n"/>
      <c r="G427" s="4" t="n"/>
      <c r="H427" s="7">
        <f>IF(A427="","",SUMIFS(Платежи!$C:$C,Платежи!$B:$B,A427))</f>
        <v/>
      </c>
      <c r="I427" s="7">
        <f>IF(A427="","",MAX(0,D427-H427))</f>
        <v/>
      </c>
      <c r="J427" s="10">
        <f>IF(OR(A427="",D427=0),"",H427/D427)</f>
        <v/>
      </c>
    </row>
    <row r="428">
      <c r="D428" s="7" t="n"/>
      <c r="E428" s="17" t="n"/>
      <c r="F428" s="7" t="n"/>
      <c r="G428" s="4" t="n"/>
      <c r="H428" s="7">
        <f>IF(A428="","",SUMIFS(Платежи!$C:$C,Платежи!$B:$B,A428))</f>
        <v/>
      </c>
      <c r="I428" s="7">
        <f>IF(A428="","",MAX(0,D428-H428))</f>
        <v/>
      </c>
      <c r="J428" s="10">
        <f>IF(OR(A428="",D428=0),"",H428/D428)</f>
        <v/>
      </c>
    </row>
    <row r="429">
      <c r="D429" s="7" t="n"/>
      <c r="E429" s="17" t="n"/>
      <c r="F429" s="7" t="n"/>
      <c r="G429" s="4" t="n"/>
      <c r="H429" s="7">
        <f>IF(A429="","",SUMIFS(Платежи!$C:$C,Платежи!$B:$B,A429))</f>
        <v/>
      </c>
      <c r="I429" s="7">
        <f>IF(A429="","",MAX(0,D429-H429))</f>
        <v/>
      </c>
      <c r="J429" s="10">
        <f>IF(OR(A429="",D429=0),"",H429/D429)</f>
        <v/>
      </c>
    </row>
    <row r="430">
      <c r="D430" s="7" t="n"/>
      <c r="E430" s="17" t="n"/>
      <c r="F430" s="7" t="n"/>
      <c r="G430" s="4" t="n"/>
      <c r="H430" s="7">
        <f>IF(A430="","",SUMIFS(Платежи!$C:$C,Платежи!$B:$B,A430))</f>
        <v/>
      </c>
      <c r="I430" s="7">
        <f>IF(A430="","",MAX(0,D430-H430))</f>
        <v/>
      </c>
      <c r="J430" s="10">
        <f>IF(OR(A430="",D430=0),"",H430/D430)</f>
        <v/>
      </c>
    </row>
    <row r="431">
      <c r="D431" s="7" t="n"/>
      <c r="E431" s="17" t="n"/>
      <c r="F431" s="7" t="n"/>
      <c r="G431" s="4" t="n"/>
      <c r="H431" s="7">
        <f>IF(A431="","",SUMIFS(Платежи!$C:$C,Платежи!$B:$B,A431))</f>
        <v/>
      </c>
      <c r="I431" s="7">
        <f>IF(A431="","",MAX(0,D431-H431))</f>
        <v/>
      </c>
      <c r="J431" s="10">
        <f>IF(OR(A431="",D431=0),"",H431/D431)</f>
        <v/>
      </c>
    </row>
    <row r="432">
      <c r="D432" s="7" t="n"/>
      <c r="E432" s="17" t="n"/>
      <c r="F432" s="7" t="n"/>
      <c r="G432" s="4" t="n"/>
      <c r="H432" s="7">
        <f>IF(A432="","",SUMIFS(Платежи!$C:$C,Платежи!$B:$B,A432))</f>
        <v/>
      </c>
      <c r="I432" s="7">
        <f>IF(A432="","",MAX(0,D432-H432))</f>
        <v/>
      </c>
      <c r="J432" s="10">
        <f>IF(OR(A432="",D432=0),"",H432/D432)</f>
        <v/>
      </c>
    </row>
    <row r="433">
      <c r="D433" s="7" t="n"/>
      <c r="E433" s="17" t="n"/>
      <c r="F433" s="7" t="n"/>
      <c r="G433" s="4" t="n"/>
      <c r="H433" s="7">
        <f>IF(A433="","",SUMIFS(Платежи!$C:$C,Платежи!$B:$B,A433))</f>
        <v/>
      </c>
      <c r="I433" s="7">
        <f>IF(A433="","",MAX(0,D433-H433))</f>
        <v/>
      </c>
      <c r="J433" s="10">
        <f>IF(OR(A433="",D433=0),"",H433/D433)</f>
        <v/>
      </c>
    </row>
    <row r="434">
      <c r="D434" s="7" t="n"/>
      <c r="E434" s="17" t="n"/>
      <c r="F434" s="7" t="n"/>
      <c r="G434" s="4" t="n"/>
      <c r="H434" s="7">
        <f>IF(A434="","",SUMIFS(Платежи!$C:$C,Платежи!$B:$B,A434))</f>
        <v/>
      </c>
      <c r="I434" s="7">
        <f>IF(A434="","",MAX(0,D434-H434))</f>
        <v/>
      </c>
      <c r="J434" s="10">
        <f>IF(OR(A434="",D434=0),"",H434/D434)</f>
        <v/>
      </c>
    </row>
    <row r="435">
      <c r="D435" s="7" t="n"/>
      <c r="E435" s="17" t="n"/>
      <c r="F435" s="7" t="n"/>
      <c r="G435" s="4" t="n"/>
      <c r="H435" s="7">
        <f>IF(A435="","",SUMIFS(Платежи!$C:$C,Платежи!$B:$B,A435))</f>
        <v/>
      </c>
      <c r="I435" s="7">
        <f>IF(A435="","",MAX(0,D435-H435))</f>
        <v/>
      </c>
      <c r="J435" s="10">
        <f>IF(OR(A435="",D435=0),"",H435/D435)</f>
        <v/>
      </c>
    </row>
    <row r="436">
      <c r="D436" s="7" t="n"/>
      <c r="E436" s="17" t="n"/>
      <c r="F436" s="7" t="n"/>
      <c r="G436" s="4" t="n"/>
      <c r="H436" s="7">
        <f>IF(A436="","",SUMIFS(Платежи!$C:$C,Платежи!$B:$B,A436))</f>
        <v/>
      </c>
      <c r="I436" s="7">
        <f>IF(A436="","",MAX(0,D436-H436))</f>
        <v/>
      </c>
      <c r="J436" s="10">
        <f>IF(OR(A436="",D436=0),"",H436/D436)</f>
        <v/>
      </c>
    </row>
    <row r="437">
      <c r="D437" s="7" t="n"/>
      <c r="E437" s="17" t="n"/>
      <c r="F437" s="7" t="n"/>
      <c r="G437" s="4" t="n"/>
      <c r="H437" s="7">
        <f>IF(A437="","",SUMIFS(Платежи!$C:$C,Платежи!$B:$B,A437))</f>
        <v/>
      </c>
      <c r="I437" s="7">
        <f>IF(A437="","",MAX(0,D437-H437))</f>
        <v/>
      </c>
      <c r="J437" s="10">
        <f>IF(OR(A437="",D437=0),"",H437/D437)</f>
        <v/>
      </c>
    </row>
    <row r="438">
      <c r="D438" s="7" t="n"/>
      <c r="E438" s="17" t="n"/>
      <c r="F438" s="7" t="n"/>
      <c r="G438" s="4" t="n"/>
      <c r="H438" s="7">
        <f>IF(A438="","",SUMIFS(Платежи!$C:$C,Платежи!$B:$B,A438))</f>
        <v/>
      </c>
      <c r="I438" s="7">
        <f>IF(A438="","",MAX(0,D438-H438))</f>
        <v/>
      </c>
      <c r="J438" s="10">
        <f>IF(OR(A438="",D438=0),"",H438/D438)</f>
        <v/>
      </c>
    </row>
    <row r="439">
      <c r="D439" s="7" t="n"/>
      <c r="E439" s="17" t="n"/>
      <c r="F439" s="7" t="n"/>
      <c r="G439" s="4" t="n"/>
      <c r="H439" s="7">
        <f>IF(A439="","",SUMIFS(Платежи!$C:$C,Платежи!$B:$B,A439))</f>
        <v/>
      </c>
      <c r="I439" s="7">
        <f>IF(A439="","",MAX(0,D439-H439))</f>
        <v/>
      </c>
      <c r="J439" s="10">
        <f>IF(OR(A439="",D439=0),"",H439/D439)</f>
        <v/>
      </c>
    </row>
    <row r="440">
      <c r="D440" s="7" t="n"/>
      <c r="E440" s="17" t="n"/>
      <c r="F440" s="7" t="n"/>
      <c r="G440" s="4" t="n"/>
      <c r="H440" s="7">
        <f>IF(A440="","",SUMIFS(Платежи!$C:$C,Платежи!$B:$B,A440))</f>
        <v/>
      </c>
      <c r="I440" s="7">
        <f>IF(A440="","",MAX(0,D440-H440))</f>
        <v/>
      </c>
      <c r="J440" s="10">
        <f>IF(OR(A440="",D440=0),"",H440/D440)</f>
        <v/>
      </c>
    </row>
    <row r="441">
      <c r="D441" s="7" t="n"/>
      <c r="E441" s="17" t="n"/>
      <c r="F441" s="7" t="n"/>
      <c r="G441" s="4" t="n"/>
      <c r="H441" s="7">
        <f>IF(A441="","",SUMIFS(Платежи!$C:$C,Платежи!$B:$B,A441))</f>
        <v/>
      </c>
      <c r="I441" s="7">
        <f>IF(A441="","",MAX(0,D441-H441))</f>
        <v/>
      </c>
      <c r="J441" s="10">
        <f>IF(OR(A441="",D441=0),"",H441/D441)</f>
        <v/>
      </c>
    </row>
    <row r="442">
      <c r="D442" s="7" t="n"/>
      <c r="E442" s="17" t="n"/>
      <c r="F442" s="7" t="n"/>
      <c r="G442" s="4" t="n"/>
      <c r="H442" s="7">
        <f>IF(A442="","",SUMIFS(Платежи!$C:$C,Платежи!$B:$B,A442))</f>
        <v/>
      </c>
      <c r="I442" s="7">
        <f>IF(A442="","",MAX(0,D442-H442))</f>
        <v/>
      </c>
      <c r="J442" s="10">
        <f>IF(OR(A442="",D442=0),"",H442/D442)</f>
        <v/>
      </c>
    </row>
    <row r="443">
      <c r="D443" s="7" t="n"/>
      <c r="E443" s="17" t="n"/>
      <c r="F443" s="7" t="n"/>
      <c r="G443" s="4" t="n"/>
      <c r="H443" s="7">
        <f>IF(A443="","",SUMIFS(Платежи!$C:$C,Платежи!$B:$B,A443))</f>
        <v/>
      </c>
      <c r="I443" s="7">
        <f>IF(A443="","",MAX(0,D443-H443))</f>
        <v/>
      </c>
      <c r="J443" s="10">
        <f>IF(OR(A443="",D443=0),"",H443/D443)</f>
        <v/>
      </c>
    </row>
    <row r="444">
      <c r="D444" s="7" t="n"/>
      <c r="E444" s="17" t="n"/>
      <c r="F444" s="7" t="n"/>
      <c r="G444" s="4" t="n"/>
      <c r="H444" s="7">
        <f>IF(A444="","",SUMIFS(Платежи!$C:$C,Платежи!$B:$B,A444))</f>
        <v/>
      </c>
      <c r="I444" s="7">
        <f>IF(A444="","",MAX(0,D444-H444))</f>
        <v/>
      </c>
      <c r="J444" s="10">
        <f>IF(OR(A444="",D444=0),"",H444/D444)</f>
        <v/>
      </c>
    </row>
    <row r="445">
      <c r="D445" s="7" t="n"/>
      <c r="E445" s="17" t="n"/>
      <c r="F445" s="7" t="n"/>
      <c r="G445" s="4" t="n"/>
      <c r="H445" s="7">
        <f>IF(A445="","",SUMIFS(Платежи!$C:$C,Платежи!$B:$B,A445))</f>
        <v/>
      </c>
      <c r="I445" s="7">
        <f>IF(A445="","",MAX(0,D445-H445))</f>
        <v/>
      </c>
      <c r="J445" s="10">
        <f>IF(OR(A445="",D445=0),"",H445/D445)</f>
        <v/>
      </c>
    </row>
    <row r="446">
      <c r="D446" s="7" t="n"/>
      <c r="E446" s="17" t="n"/>
      <c r="F446" s="7" t="n"/>
      <c r="G446" s="4" t="n"/>
      <c r="H446" s="7">
        <f>IF(A446="","",SUMIFS(Платежи!$C:$C,Платежи!$B:$B,A446))</f>
        <v/>
      </c>
      <c r="I446" s="7">
        <f>IF(A446="","",MAX(0,D446-H446))</f>
        <v/>
      </c>
      <c r="J446" s="10">
        <f>IF(OR(A446="",D446=0),"",H446/D446)</f>
        <v/>
      </c>
    </row>
    <row r="447">
      <c r="D447" s="7" t="n"/>
      <c r="E447" s="17" t="n"/>
      <c r="F447" s="7" t="n"/>
      <c r="G447" s="4" t="n"/>
      <c r="H447" s="7">
        <f>IF(A447="","",SUMIFS(Платежи!$C:$C,Платежи!$B:$B,A447))</f>
        <v/>
      </c>
      <c r="I447" s="7">
        <f>IF(A447="","",MAX(0,D447-H447))</f>
        <v/>
      </c>
      <c r="J447" s="10">
        <f>IF(OR(A447="",D447=0),"",H447/D447)</f>
        <v/>
      </c>
    </row>
    <row r="448">
      <c r="D448" s="7" t="n"/>
      <c r="E448" s="17" t="n"/>
      <c r="F448" s="7" t="n"/>
      <c r="G448" s="4" t="n"/>
      <c r="H448" s="7">
        <f>IF(A448="","",SUMIFS(Платежи!$C:$C,Платежи!$B:$B,A448))</f>
        <v/>
      </c>
      <c r="I448" s="7">
        <f>IF(A448="","",MAX(0,D448-H448))</f>
        <v/>
      </c>
      <c r="J448" s="10">
        <f>IF(OR(A448="",D448=0),"",H448/D448)</f>
        <v/>
      </c>
    </row>
    <row r="449">
      <c r="D449" s="7" t="n"/>
      <c r="E449" s="17" t="n"/>
      <c r="F449" s="7" t="n"/>
      <c r="G449" s="4" t="n"/>
      <c r="H449" s="7">
        <f>IF(A449="","",SUMIFS(Платежи!$C:$C,Платежи!$B:$B,A449))</f>
        <v/>
      </c>
      <c r="I449" s="7">
        <f>IF(A449="","",MAX(0,D449-H449))</f>
        <v/>
      </c>
      <c r="J449" s="10">
        <f>IF(OR(A449="",D449=0),"",H449/D449)</f>
        <v/>
      </c>
    </row>
    <row r="450">
      <c r="D450" s="7" t="n"/>
      <c r="E450" s="17" t="n"/>
      <c r="F450" s="7" t="n"/>
      <c r="G450" s="4" t="n"/>
      <c r="H450" s="7">
        <f>IF(A450="","",SUMIFS(Платежи!$C:$C,Платежи!$B:$B,A450))</f>
        <v/>
      </c>
      <c r="I450" s="7">
        <f>IF(A450="","",MAX(0,D450-H450))</f>
        <v/>
      </c>
      <c r="J450" s="10">
        <f>IF(OR(A450="",D450=0),"",H450/D450)</f>
        <v/>
      </c>
    </row>
    <row r="451">
      <c r="D451" s="7" t="n"/>
      <c r="E451" s="17" t="n"/>
      <c r="F451" s="7" t="n"/>
      <c r="G451" s="4" t="n"/>
      <c r="H451" s="7">
        <f>IF(A451="","",SUMIFS(Платежи!$C:$C,Платежи!$B:$B,A451))</f>
        <v/>
      </c>
      <c r="I451" s="7">
        <f>IF(A451="","",MAX(0,D451-H451))</f>
        <v/>
      </c>
      <c r="J451" s="10">
        <f>IF(OR(A451="",D451=0),"",H451/D451)</f>
        <v/>
      </c>
    </row>
    <row r="452">
      <c r="D452" s="7" t="n"/>
      <c r="E452" s="17" t="n"/>
      <c r="F452" s="7" t="n"/>
      <c r="G452" s="4" t="n"/>
      <c r="H452" s="7">
        <f>IF(A452="","",SUMIFS(Платежи!$C:$C,Платежи!$B:$B,A452))</f>
        <v/>
      </c>
      <c r="I452" s="7">
        <f>IF(A452="","",MAX(0,D452-H452))</f>
        <v/>
      </c>
      <c r="J452" s="10">
        <f>IF(OR(A452="",D452=0),"",H452/D452)</f>
        <v/>
      </c>
    </row>
    <row r="453">
      <c r="D453" s="7" t="n"/>
      <c r="E453" s="17" t="n"/>
      <c r="F453" s="7" t="n"/>
      <c r="G453" s="4" t="n"/>
      <c r="H453" s="7">
        <f>IF(A453="","",SUMIFS(Платежи!$C:$C,Платежи!$B:$B,A453))</f>
        <v/>
      </c>
      <c r="I453" s="7">
        <f>IF(A453="","",MAX(0,D453-H453))</f>
        <v/>
      </c>
      <c r="J453" s="10">
        <f>IF(OR(A453="",D453=0),"",H453/D453)</f>
        <v/>
      </c>
    </row>
    <row r="454">
      <c r="D454" s="7" t="n"/>
      <c r="E454" s="17" t="n"/>
      <c r="F454" s="7" t="n"/>
      <c r="G454" s="4" t="n"/>
      <c r="H454" s="7">
        <f>IF(A454="","",SUMIFS(Платежи!$C:$C,Платежи!$B:$B,A454))</f>
        <v/>
      </c>
      <c r="I454" s="7">
        <f>IF(A454="","",MAX(0,D454-H454))</f>
        <v/>
      </c>
      <c r="J454" s="10">
        <f>IF(OR(A454="",D454=0),"",H454/D454)</f>
        <v/>
      </c>
    </row>
    <row r="455">
      <c r="D455" s="7" t="n"/>
      <c r="E455" s="17" t="n"/>
      <c r="F455" s="7" t="n"/>
      <c r="G455" s="4" t="n"/>
      <c r="H455" s="7">
        <f>IF(A455="","",SUMIFS(Платежи!$C:$C,Платежи!$B:$B,A455))</f>
        <v/>
      </c>
      <c r="I455" s="7">
        <f>IF(A455="","",MAX(0,D455-H455))</f>
        <v/>
      </c>
      <c r="J455" s="10">
        <f>IF(OR(A455="",D455=0),"",H455/D455)</f>
        <v/>
      </c>
    </row>
    <row r="456">
      <c r="D456" s="7" t="n"/>
      <c r="E456" s="17" t="n"/>
      <c r="F456" s="7" t="n"/>
      <c r="G456" s="4" t="n"/>
      <c r="H456" s="7">
        <f>IF(A456="","",SUMIFS(Платежи!$C:$C,Платежи!$B:$B,A456))</f>
        <v/>
      </c>
      <c r="I456" s="7">
        <f>IF(A456="","",MAX(0,D456-H456))</f>
        <v/>
      </c>
      <c r="J456" s="10">
        <f>IF(OR(A456="",D456=0),"",H456/D456)</f>
        <v/>
      </c>
    </row>
    <row r="457">
      <c r="D457" s="7" t="n"/>
      <c r="E457" s="17" t="n"/>
      <c r="F457" s="7" t="n"/>
      <c r="G457" s="4" t="n"/>
      <c r="H457" s="7">
        <f>IF(A457="","",SUMIFS(Платежи!$C:$C,Платежи!$B:$B,A457))</f>
        <v/>
      </c>
      <c r="I457" s="7">
        <f>IF(A457="","",MAX(0,D457-H457))</f>
        <v/>
      </c>
      <c r="J457" s="10">
        <f>IF(OR(A457="",D457=0),"",H457/D457)</f>
        <v/>
      </c>
    </row>
    <row r="458">
      <c r="D458" s="7" t="n"/>
      <c r="E458" s="17" t="n"/>
      <c r="F458" s="7" t="n"/>
      <c r="G458" s="4" t="n"/>
      <c r="H458" s="7">
        <f>IF(A458="","",SUMIFS(Платежи!$C:$C,Платежи!$B:$B,A458))</f>
        <v/>
      </c>
      <c r="I458" s="7">
        <f>IF(A458="","",MAX(0,D458-H458))</f>
        <v/>
      </c>
      <c r="J458" s="10">
        <f>IF(OR(A458="",D458=0),"",H458/D458)</f>
        <v/>
      </c>
    </row>
    <row r="459">
      <c r="D459" s="7" t="n"/>
      <c r="E459" s="17" t="n"/>
      <c r="F459" s="7" t="n"/>
      <c r="G459" s="4" t="n"/>
      <c r="H459" s="7">
        <f>IF(A459="","",SUMIFS(Платежи!$C:$C,Платежи!$B:$B,A459))</f>
        <v/>
      </c>
      <c r="I459" s="7">
        <f>IF(A459="","",MAX(0,D459-H459))</f>
        <v/>
      </c>
      <c r="J459" s="10">
        <f>IF(OR(A459="",D459=0),"",H459/D459)</f>
        <v/>
      </c>
    </row>
    <row r="460">
      <c r="D460" s="7" t="n"/>
      <c r="E460" s="17" t="n"/>
      <c r="F460" s="7" t="n"/>
      <c r="G460" s="4" t="n"/>
      <c r="H460" s="7">
        <f>IF(A460="","",SUMIFS(Платежи!$C:$C,Платежи!$B:$B,A460))</f>
        <v/>
      </c>
      <c r="I460" s="7">
        <f>IF(A460="","",MAX(0,D460-H460))</f>
        <v/>
      </c>
      <c r="J460" s="10">
        <f>IF(OR(A460="",D460=0),"",H460/D460)</f>
        <v/>
      </c>
    </row>
    <row r="461">
      <c r="D461" s="7" t="n"/>
      <c r="E461" s="17" t="n"/>
      <c r="F461" s="7" t="n"/>
      <c r="G461" s="4" t="n"/>
      <c r="H461" s="7">
        <f>IF(A461="","",SUMIFS(Платежи!$C:$C,Платежи!$B:$B,A461))</f>
        <v/>
      </c>
      <c r="I461" s="7">
        <f>IF(A461="","",MAX(0,D461-H461))</f>
        <v/>
      </c>
      <c r="J461" s="10">
        <f>IF(OR(A461="",D461=0),"",H461/D461)</f>
        <v/>
      </c>
    </row>
    <row r="462">
      <c r="D462" s="7" t="n"/>
      <c r="E462" s="17" t="n"/>
      <c r="F462" s="7" t="n"/>
      <c r="G462" s="4" t="n"/>
      <c r="H462" s="7">
        <f>IF(A462="","",SUMIFS(Платежи!$C:$C,Платежи!$B:$B,A462))</f>
        <v/>
      </c>
      <c r="I462" s="7">
        <f>IF(A462="","",MAX(0,D462-H462))</f>
        <v/>
      </c>
      <c r="J462" s="10">
        <f>IF(OR(A462="",D462=0),"",H462/D462)</f>
        <v/>
      </c>
    </row>
    <row r="463">
      <c r="D463" s="7" t="n"/>
      <c r="E463" s="17" t="n"/>
      <c r="F463" s="7" t="n"/>
      <c r="G463" s="4" t="n"/>
      <c r="H463" s="7">
        <f>IF(A463="","",SUMIFS(Платежи!$C:$C,Платежи!$B:$B,A463))</f>
        <v/>
      </c>
      <c r="I463" s="7">
        <f>IF(A463="","",MAX(0,D463-H463))</f>
        <v/>
      </c>
      <c r="J463" s="10">
        <f>IF(OR(A463="",D463=0),"",H463/D463)</f>
        <v/>
      </c>
    </row>
    <row r="464">
      <c r="D464" s="7" t="n"/>
      <c r="E464" s="17" t="n"/>
      <c r="F464" s="7" t="n"/>
      <c r="G464" s="4" t="n"/>
      <c r="H464" s="7">
        <f>IF(A464="","",SUMIFS(Платежи!$C:$C,Платежи!$B:$B,A464))</f>
        <v/>
      </c>
      <c r="I464" s="7">
        <f>IF(A464="","",MAX(0,D464-H464))</f>
        <v/>
      </c>
      <c r="J464" s="10">
        <f>IF(OR(A464="",D464=0),"",H464/D464)</f>
        <v/>
      </c>
    </row>
    <row r="465">
      <c r="D465" s="7" t="n"/>
      <c r="E465" s="17" t="n"/>
      <c r="F465" s="7" t="n"/>
      <c r="G465" s="4" t="n"/>
      <c r="H465" s="7">
        <f>IF(A465="","",SUMIFS(Платежи!$C:$C,Платежи!$B:$B,A465))</f>
        <v/>
      </c>
      <c r="I465" s="7">
        <f>IF(A465="","",MAX(0,D465-H465))</f>
        <v/>
      </c>
      <c r="J465" s="10">
        <f>IF(OR(A465="",D465=0),"",H465/D465)</f>
        <v/>
      </c>
    </row>
    <row r="466">
      <c r="D466" s="7" t="n"/>
      <c r="E466" s="17" t="n"/>
      <c r="F466" s="7" t="n"/>
      <c r="G466" s="4" t="n"/>
      <c r="H466" s="7">
        <f>IF(A466="","",SUMIFS(Платежи!$C:$C,Платежи!$B:$B,A466))</f>
        <v/>
      </c>
      <c r="I466" s="7">
        <f>IF(A466="","",MAX(0,D466-H466))</f>
        <v/>
      </c>
      <c r="J466" s="10">
        <f>IF(OR(A466="",D466=0),"",H466/D466)</f>
        <v/>
      </c>
    </row>
    <row r="467">
      <c r="D467" s="7" t="n"/>
      <c r="E467" s="17" t="n"/>
      <c r="F467" s="7" t="n"/>
      <c r="G467" s="4" t="n"/>
      <c r="H467" s="7">
        <f>IF(A467="","",SUMIFS(Платежи!$C:$C,Платежи!$B:$B,A467))</f>
        <v/>
      </c>
      <c r="I467" s="7">
        <f>IF(A467="","",MAX(0,D467-H467))</f>
        <v/>
      </c>
      <c r="J467" s="10">
        <f>IF(OR(A467="",D467=0),"",H467/D467)</f>
        <v/>
      </c>
    </row>
    <row r="468">
      <c r="D468" s="7" t="n"/>
      <c r="E468" s="17" t="n"/>
      <c r="F468" s="7" t="n"/>
      <c r="G468" s="4" t="n"/>
      <c r="H468" s="7">
        <f>IF(A468="","",SUMIFS(Платежи!$C:$C,Платежи!$B:$B,A468))</f>
        <v/>
      </c>
      <c r="I468" s="7">
        <f>IF(A468="","",MAX(0,D468-H468))</f>
        <v/>
      </c>
      <c r="J468" s="10">
        <f>IF(OR(A468="",D468=0),"",H468/D468)</f>
        <v/>
      </c>
    </row>
    <row r="469">
      <c r="D469" s="7" t="n"/>
      <c r="E469" s="17" t="n"/>
      <c r="F469" s="7" t="n"/>
      <c r="G469" s="4" t="n"/>
      <c r="H469" s="7">
        <f>IF(A469="","",SUMIFS(Платежи!$C:$C,Платежи!$B:$B,A469))</f>
        <v/>
      </c>
      <c r="I469" s="7">
        <f>IF(A469="","",MAX(0,D469-H469))</f>
        <v/>
      </c>
      <c r="J469" s="10">
        <f>IF(OR(A469="",D469=0),"",H469/D469)</f>
        <v/>
      </c>
    </row>
    <row r="470">
      <c r="D470" s="7" t="n"/>
      <c r="E470" s="17" t="n"/>
      <c r="F470" s="7" t="n"/>
      <c r="G470" s="4" t="n"/>
      <c r="H470" s="7">
        <f>IF(A470="","",SUMIFS(Платежи!$C:$C,Платежи!$B:$B,A470))</f>
        <v/>
      </c>
      <c r="I470" s="7">
        <f>IF(A470="","",MAX(0,D470-H470))</f>
        <v/>
      </c>
      <c r="J470" s="10">
        <f>IF(OR(A470="",D470=0),"",H470/D470)</f>
        <v/>
      </c>
    </row>
    <row r="471">
      <c r="D471" s="7" t="n"/>
      <c r="E471" s="17" t="n"/>
      <c r="F471" s="7" t="n"/>
      <c r="G471" s="4" t="n"/>
      <c r="H471" s="7">
        <f>IF(A471="","",SUMIFS(Платежи!$C:$C,Платежи!$B:$B,A471))</f>
        <v/>
      </c>
      <c r="I471" s="7">
        <f>IF(A471="","",MAX(0,D471-H471))</f>
        <v/>
      </c>
      <c r="J471" s="10">
        <f>IF(OR(A471="",D471=0),"",H471/D471)</f>
        <v/>
      </c>
    </row>
    <row r="472">
      <c r="D472" s="7" t="n"/>
      <c r="E472" s="17" t="n"/>
      <c r="F472" s="7" t="n"/>
      <c r="G472" s="4" t="n"/>
      <c r="H472" s="7">
        <f>IF(A472="","",SUMIFS(Платежи!$C:$C,Платежи!$B:$B,A472))</f>
        <v/>
      </c>
      <c r="I472" s="7">
        <f>IF(A472="","",MAX(0,D472-H472))</f>
        <v/>
      </c>
      <c r="J472" s="10">
        <f>IF(OR(A472="",D472=0),"",H472/D472)</f>
        <v/>
      </c>
    </row>
    <row r="473">
      <c r="D473" s="7" t="n"/>
      <c r="E473" s="17" t="n"/>
      <c r="F473" s="7" t="n"/>
      <c r="G473" s="4" t="n"/>
      <c r="H473" s="7">
        <f>IF(A473="","",SUMIFS(Платежи!$C:$C,Платежи!$B:$B,A473))</f>
        <v/>
      </c>
      <c r="I473" s="7">
        <f>IF(A473="","",MAX(0,D473-H473))</f>
        <v/>
      </c>
      <c r="J473" s="10">
        <f>IF(OR(A473="",D473=0),"",H473/D473)</f>
        <v/>
      </c>
    </row>
    <row r="474">
      <c r="D474" s="7" t="n"/>
      <c r="E474" s="17" t="n"/>
      <c r="F474" s="7" t="n"/>
      <c r="G474" s="4" t="n"/>
      <c r="H474" s="7">
        <f>IF(A474="","",SUMIFS(Платежи!$C:$C,Платежи!$B:$B,A474))</f>
        <v/>
      </c>
      <c r="I474" s="7">
        <f>IF(A474="","",MAX(0,D474-H474))</f>
        <v/>
      </c>
      <c r="J474" s="10">
        <f>IF(OR(A474="",D474=0),"",H474/D474)</f>
        <v/>
      </c>
    </row>
    <row r="475">
      <c r="D475" s="7" t="n"/>
      <c r="E475" s="17" t="n"/>
      <c r="F475" s="7" t="n"/>
      <c r="G475" s="4" t="n"/>
      <c r="H475" s="7">
        <f>IF(A475="","",SUMIFS(Платежи!$C:$C,Платежи!$B:$B,A475))</f>
        <v/>
      </c>
      <c r="I475" s="7">
        <f>IF(A475="","",MAX(0,D475-H475))</f>
        <v/>
      </c>
      <c r="J475" s="10">
        <f>IF(OR(A475="",D475=0),"",H475/D475)</f>
        <v/>
      </c>
    </row>
    <row r="476">
      <c r="D476" s="7" t="n"/>
      <c r="E476" s="17" t="n"/>
      <c r="F476" s="7" t="n"/>
      <c r="G476" s="4" t="n"/>
      <c r="H476" s="7">
        <f>IF(A476="","",SUMIFS(Платежи!$C:$C,Платежи!$B:$B,A476))</f>
        <v/>
      </c>
      <c r="I476" s="7">
        <f>IF(A476="","",MAX(0,D476-H476))</f>
        <v/>
      </c>
      <c r="J476" s="10">
        <f>IF(OR(A476="",D476=0),"",H476/D476)</f>
        <v/>
      </c>
    </row>
    <row r="477">
      <c r="D477" s="7" t="n"/>
      <c r="E477" s="17" t="n"/>
      <c r="F477" s="7" t="n"/>
      <c r="G477" s="4" t="n"/>
      <c r="H477" s="7">
        <f>IF(A477="","",SUMIFS(Платежи!$C:$C,Платежи!$B:$B,A477))</f>
        <v/>
      </c>
      <c r="I477" s="7">
        <f>IF(A477="","",MAX(0,D477-H477))</f>
        <v/>
      </c>
      <c r="J477" s="10">
        <f>IF(OR(A477="",D477=0),"",H477/D477)</f>
        <v/>
      </c>
    </row>
    <row r="478">
      <c r="D478" s="7" t="n"/>
      <c r="E478" s="17" t="n"/>
      <c r="F478" s="7" t="n"/>
      <c r="G478" s="4" t="n"/>
      <c r="H478" s="7">
        <f>IF(A478="","",SUMIFS(Платежи!$C:$C,Платежи!$B:$B,A478))</f>
        <v/>
      </c>
      <c r="I478" s="7">
        <f>IF(A478="","",MAX(0,D478-H478))</f>
        <v/>
      </c>
      <c r="J478" s="10">
        <f>IF(OR(A478="",D478=0),"",H478/D478)</f>
        <v/>
      </c>
    </row>
    <row r="479">
      <c r="D479" s="7" t="n"/>
      <c r="E479" s="17" t="n"/>
      <c r="F479" s="7" t="n"/>
      <c r="G479" s="4" t="n"/>
      <c r="H479" s="7">
        <f>IF(A479="","",SUMIFS(Платежи!$C:$C,Платежи!$B:$B,A479))</f>
        <v/>
      </c>
      <c r="I479" s="7">
        <f>IF(A479="","",MAX(0,D479-H479))</f>
        <v/>
      </c>
      <c r="J479" s="10">
        <f>IF(OR(A479="",D479=0),"",H479/D479)</f>
        <v/>
      </c>
    </row>
    <row r="480">
      <c r="D480" s="7" t="n"/>
      <c r="E480" s="17" t="n"/>
      <c r="F480" s="7" t="n"/>
      <c r="G480" s="4" t="n"/>
      <c r="H480" s="7">
        <f>IF(A480="","",SUMIFS(Платежи!$C:$C,Платежи!$B:$B,A480))</f>
        <v/>
      </c>
      <c r="I480" s="7">
        <f>IF(A480="","",MAX(0,D480-H480))</f>
        <v/>
      </c>
      <c r="J480" s="10">
        <f>IF(OR(A480="",D480=0),"",H480/D480)</f>
        <v/>
      </c>
    </row>
    <row r="481">
      <c r="D481" s="7" t="n"/>
      <c r="E481" s="17" t="n"/>
      <c r="F481" s="7" t="n"/>
      <c r="G481" s="4" t="n"/>
      <c r="H481" s="7">
        <f>IF(A481="","",SUMIFS(Платежи!$C:$C,Платежи!$B:$B,A481))</f>
        <v/>
      </c>
      <c r="I481" s="7">
        <f>IF(A481="","",MAX(0,D481-H481))</f>
        <v/>
      </c>
      <c r="J481" s="10">
        <f>IF(OR(A481="",D481=0),"",H481/D481)</f>
        <v/>
      </c>
    </row>
    <row r="482">
      <c r="D482" s="7" t="n"/>
      <c r="E482" s="17" t="n"/>
      <c r="F482" s="7" t="n"/>
      <c r="G482" s="4" t="n"/>
      <c r="H482" s="7">
        <f>IF(A482="","",SUMIFS(Платежи!$C:$C,Платежи!$B:$B,A482))</f>
        <v/>
      </c>
      <c r="I482" s="7">
        <f>IF(A482="","",MAX(0,D482-H482))</f>
        <v/>
      </c>
      <c r="J482" s="10">
        <f>IF(OR(A482="",D482=0),"",H482/D482)</f>
        <v/>
      </c>
    </row>
    <row r="483">
      <c r="D483" s="7" t="n"/>
      <c r="E483" s="17" t="n"/>
      <c r="F483" s="7" t="n"/>
      <c r="G483" s="4" t="n"/>
      <c r="H483" s="7">
        <f>IF(A483="","",SUMIFS(Платежи!$C:$C,Платежи!$B:$B,A483))</f>
        <v/>
      </c>
      <c r="I483" s="7">
        <f>IF(A483="","",MAX(0,D483-H483))</f>
        <v/>
      </c>
      <c r="J483" s="10">
        <f>IF(OR(A483="",D483=0),"",H483/D483)</f>
        <v/>
      </c>
    </row>
    <row r="484">
      <c r="D484" s="7" t="n"/>
      <c r="E484" s="17" t="n"/>
      <c r="F484" s="7" t="n"/>
      <c r="G484" s="4" t="n"/>
      <c r="H484" s="7">
        <f>IF(A484="","",SUMIFS(Платежи!$C:$C,Платежи!$B:$B,A484))</f>
        <v/>
      </c>
      <c r="I484" s="7">
        <f>IF(A484="","",MAX(0,D484-H484))</f>
        <v/>
      </c>
      <c r="J484" s="10">
        <f>IF(OR(A484="",D484=0),"",H484/D484)</f>
        <v/>
      </c>
    </row>
    <row r="485">
      <c r="D485" s="7" t="n"/>
      <c r="E485" s="17" t="n"/>
      <c r="F485" s="7" t="n"/>
      <c r="G485" s="4" t="n"/>
      <c r="H485" s="7">
        <f>IF(A485="","",SUMIFS(Платежи!$C:$C,Платежи!$B:$B,A485))</f>
        <v/>
      </c>
      <c r="I485" s="7">
        <f>IF(A485="","",MAX(0,D485-H485))</f>
        <v/>
      </c>
      <c r="J485" s="10">
        <f>IF(OR(A485="",D485=0),"",H485/D485)</f>
        <v/>
      </c>
    </row>
    <row r="486">
      <c r="D486" s="7" t="n"/>
      <c r="E486" s="17" t="n"/>
      <c r="F486" s="7" t="n"/>
      <c r="G486" s="4" t="n"/>
      <c r="H486" s="7">
        <f>IF(A486="","",SUMIFS(Платежи!$C:$C,Платежи!$B:$B,A486))</f>
        <v/>
      </c>
      <c r="I486" s="7">
        <f>IF(A486="","",MAX(0,D486-H486))</f>
        <v/>
      </c>
      <c r="J486" s="10">
        <f>IF(OR(A486="",D486=0),"",H486/D486)</f>
        <v/>
      </c>
    </row>
    <row r="487">
      <c r="D487" s="7" t="n"/>
      <c r="E487" s="17" t="n"/>
      <c r="F487" s="7" t="n"/>
      <c r="G487" s="4" t="n"/>
      <c r="H487" s="7">
        <f>IF(A487="","",SUMIFS(Платежи!$C:$C,Платежи!$B:$B,A487))</f>
        <v/>
      </c>
      <c r="I487" s="7">
        <f>IF(A487="","",MAX(0,D487-H487))</f>
        <v/>
      </c>
      <c r="J487" s="10">
        <f>IF(OR(A487="",D487=0),"",H487/D487)</f>
        <v/>
      </c>
    </row>
    <row r="488">
      <c r="D488" s="7" t="n"/>
      <c r="E488" s="17" t="n"/>
      <c r="F488" s="7" t="n"/>
      <c r="G488" s="4" t="n"/>
      <c r="H488" s="7">
        <f>IF(A488="","",SUMIFS(Платежи!$C:$C,Платежи!$B:$B,A488))</f>
        <v/>
      </c>
      <c r="I488" s="7">
        <f>IF(A488="","",MAX(0,D488-H488))</f>
        <v/>
      </c>
      <c r="J488" s="10">
        <f>IF(OR(A488="",D488=0),"",H488/D488)</f>
        <v/>
      </c>
    </row>
    <row r="489">
      <c r="D489" s="7" t="n"/>
      <c r="E489" s="17" t="n"/>
      <c r="F489" s="7" t="n"/>
      <c r="G489" s="4" t="n"/>
      <c r="H489" s="7">
        <f>IF(A489="","",SUMIFS(Платежи!$C:$C,Платежи!$B:$B,A489))</f>
        <v/>
      </c>
      <c r="I489" s="7">
        <f>IF(A489="","",MAX(0,D489-H489))</f>
        <v/>
      </c>
      <c r="J489" s="10">
        <f>IF(OR(A489="",D489=0),"",H489/D489)</f>
        <v/>
      </c>
    </row>
    <row r="490">
      <c r="D490" s="7" t="n"/>
      <c r="E490" s="17" t="n"/>
      <c r="F490" s="7" t="n"/>
      <c r="G490" s="4" t="n"/>
      <c r="H490" s="7">
        <f>IF(A490="","",SUMIFS(Платежи!$C:$C,Платежи!$B:$B,A490))</f>
        <v/>
      </c>
      <c r="I490" s="7">
        <f>IF(A490="","",MAX(0,D490-H490))</f>
        <v/>
      </c>
      <c r="J490" s="10">
        <f>IF(OR(A490="",D490=0),"",H490/D490)</f>
        <v/>
      </c>
    </row>
    <row r="491">
      <c r="D491" s="7" t="n"/>
      <c r="E491" s="17" t="n"/>
      <c r="F491" s="7" t="n"/>
      <c r="G491" s="4" t="n"/>
      <c r="H491" s="7">
        <f>IF(A491="","",SUMIFS(Платежи!$C:$C,Платежи!$B:$B,A491))</f>
        <v/>
      </c>
      <c r="I491" s="7">
        <f>IF(A491="","",MAX(0,D491-H491))</f>
        <v/>
      </c>
      <c r="J491" s="10">
        <f>IF(OR(A491="",D491=0),"",H491/D491)</f>
        <v/>
      </c>
    </row>
    <row r="492">
      <c r="D492" s="7" t="n"/>
      <c r="E492" s="17" t="n"/>
      <c r="F492" s="7" t="n"/>
      <c r="G492" s="4" t="n"/>
      <c r="H492" s="7">
        <f>IF(A492="","",SUMIFS(Платежи!$C:$C,Платежи!$B:$B,A492))</f>
        <v/>
      </c>
      <c r="I492" s="7">
        <f>IF(A492="","",MAX(0,D492-H492))</f>
        <v/>
      </c>
      <c r="J492" s="10">
        <f>IF(OR(A492="",D492=0),"",H492/D492)</f>
        <v/>
      </c>
    </row>
    <row r="493">
      <c r="D493" s="7" t="n"/>
      <c r="E493" s="17" t="n"/>
      <c r="F493" s="7" t="n"/>
      <c r="G493" s="4" t="n"/>
      <c r="H493" s="7">
        <f>IF(A493="","",SUMIFS(Платежи!$C:$C,Платежи!$B:$B,A493))</f>
        <v/>
      </c>
      <c r="I493" s="7">
        <f>IF(A493="","",MAX(0,D493-H493))</f>
        <v/>
      </c>
      <c r="J493" s="10">
        <f>IF(OR(A493="",D493=0),"",H493/D493)</f>
        <v/>
      </c>
    </row>
    <row r="494">
      <c r="D494" s="7" t="n"/>
      <c r="E494" s="17" t="n"/>
      <c r="F494" s="7" t="n"/>
      <c r="G494" s="4" t="n"/>
      <c r="H494" s="7">
        <f>IF(A494="","",SUMIFS(Платежи!$C:$C,Платежи!$B:$B,A494))</f>
        <v/>
      </c>
      <c r="I494" s="7">
        <f>IF(A494="","",MAX(0,D494-H494))</f>
        <v/>
      </c>
      <c r="J494" s="10">
        <f>IF(OR(A494="",D494=0),"",H494/D494)</f>
        <v/>
      </c>
    </row>
    <row r="495">
      <c r="D495" s="7" t="n"/>
      <c r="E495" s="17" t="n"/>
      <c r="F495" s="7" t="n"/>
      <c r="G495" s="4" t="n"/>
      <c r="H495" s="7">
        <f>IF(A495="","",SUMIFS(Платежи!$C:$C,Платежи!$B:$B,A495))</f>
        <v/>
      </c>
      <c r="I495" s="7">
        <f>IF(A495="","",MAX(0,D495-H495))</f>
        <v/>
      </c>
      <c r="J495" s="10">
        <f>IF(OR(A495="",D495=0),"",H495/D495)</f>
        <v/>
      </c>
    </row>
    <row r="496">
      <c r="D496" s="7" t="n"/>
      <c r="E496" s="17" t="n"/>
      <c r="F496" s="7" t="n"/>
      <c r="G496" s="4" t="n"/>
      <c r="H496" s="7">
        <f>IF(A496="","",SUMIFS(Платежи!$C:$C,Платежи!$B:$B,A496))</f>
        <v/>
      </c>
      <c r="I496" s="7">
        <f>IF(A496="","",MAX(0,D496-H496))</f>
        <v/>
      </c>
      <c r="J496" s="10">
        <f>IF(OR(A496="",D496=0),"",H496/D496)</f>
        <v/>
      </c>
    </row>
    <row r="497">
      <c r="D497" s="7" t="n"/>
      <c r="E497" s="17" t="n"/>
      <c r="F497" s="7" t="n"/>
      <c r="G497" s="4" t="n"/>
      <c r="H497" s="7">
        <f>IF(A497="","",SUMIFS(Платежи!$C:$C,Платежи!$B:$B,A497))</f>
        <v/>
      </c>
      <c r="I497" s="7">
        <f>IF(A497="","",MAX(0,D497-H497))</f>
        <v/>
      </c>
      <c r="J497" s="10">
        <f>IF(OR(A497="",D497=0),"",H497/D497)</f>
        <v/>
      </c>
    </row>
    <row r="498">
      <c r="D498" s="7" t="n"/>
      <c r="E498" s="17" t="n"/>
      <c r="F498" s="7" t="n"/>
      <c r="G498" s="4" t="n"/>
      <c r="H498" s="7">
        <f>IF(A498="","",SUMIFS(Платежи!$C:$C,Платежи!$B:$B,A498))</f>
        <v/>
      </c>
      <c r="I498" s="7">
        <f>IF(A498="","",MAX(0,D498-H498))</f>
        <v/>
      </c>
      <c r="J498" s="10">
        <f>IF(OR(A498="",D498=0),"",H498/D498)</f>
        <v/>
      </c>
    </row>
    <row r="499">
      <c r="D499" s="7" t="n"/>
      <c r="E499" s="17" t="n"/>
      <c r="F499" s="7" t="n"/>
      <c r="G499" s="4" t="n"/>
      <c r="H499" s="7">
        <f>IF(A499="","",SUMIFS(Платежи!$C:$C,Платежи!$B:$B,A499))</f>
        <v/>
      </c>
      <c r="I499" s="7">
        <f>IF(A499="","",MAX(0,D499-H499))</f>
        <v/>
      </c>
      <c r="J499" s="10">
        <f>IF(OR(A499="",D499=0),"",H499/D499)</f>
        <v/>
      </c>
    </row>
    <row r="500">
      <c r="D500" s="7" t="n"/>
      <c r="E500" s="17" t="n"/>
      <c r="F500" s="7" t="n"/>
      <c r="G500" s="4" t="n"/>
      <c r="H500" s="7">
        <f>IF(A500="","",SUMIFS(Платежи!$C:$C,Платежи!$B:$B,A500))</f>
        <v/>
      </c>
      <c r="I500" s="7">
        <f>IF(A500="","",MAX(0,D500-H500))</f>
        <v/>
      </c>
      <c r="J500" s="10">
        <f>IF(OR(A500="",D500=0),"",H500/D500)</f>
        <v/>
      </c>
    </row>
  </sheetData>
  <dataValidations count="2">
    <dataValidation sqref="B2:B500" showDropDown="0" showInputMessage="0" showErrorMessage="0" allowBlank="1" type="list">
      <formula1>=Списки!$C$2:$C$3</formula1>
    </dataValidation>
    <dataValidation sqref="C2:C500" showDropDown="0" showInputMessage="0" showErrorMessage="0" allowBlank="1" type="list">
      <formula1>=Списки!$D$2:$D$9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30" customWidth="1" min="2" max="2"/>
    <col width="14" customWidth="1" min="3" max="3"/>
    <col width="16" customWidth="1" min="4" max="4"/>
  </cols>
  <sheetData>
    <row r="1">
      <c r="A1" s="1" t="inlineStr">
        <is>
          <t>Дата</t>
        </is>
      </c>
      <c r="B1" s="1" t="inlineStr">
        <is>
          <t>Долг (из списка «Долги»)</t>
        </is>
      </c>
      <c r="C1" s="1" t="inlineStr">
        <is>
          <t>Сумма (€)</t>
        </is>
      </c>
      <c r="D1" s="1" t="inlineStr">
        <is>
          <t>Направление</t>
        </is>
      </c>
    </row>
    <row r="2">
      <c r="A2" s="4" t="n"/>
      <c r="C2" s="7" t="n"/>
      <c r="D2">
        <f>IF(B2="","",IFERROR(VLOOKUP(B2,Долги!$A$2:$B$500,2,FALSE),""))</f>
        <v/>
      </c>
    </row>
    <row r="3">
      <c r="A3" s="4" t="n"/>
      <c r="C3" s="7" t="n"/>
      <c r="D3">
        <f>IF(B3="","",IFERROR(VLOOKUP(B3,Долги!$A$2:$B$500,2,FALSE),""))</f>
        <v/>
      </c>
    </row>
    <row r="4">
      <c r="A4" s="4" t="n"/>
      <c r="C4" s="7" t="n"/>
      <c r="D4">
        <f>IF(B4="","",IFERROR(VLOOKUP(B4,Долги!$A$2:$B$500,2,FALSE),""))</f>
        <v/>
      </c>
    </row>
    <row r="5">
      <c r="A5" s="4" t="n"/>
      <c r="C5" s="7" t="n"/>
      <c r="D5">
        <f>IF(B5="","",IFERROR(VLOOKUP(B5,Долги!$A$2:$B$500,2,FALSE),""))</f>
        <v/>
      </c>
    </row>
    <row r="6">
      <c r="A6" s="4" t="n"/>
      <c r="C6" s="7" t="n"/>
      <c r="D6">
        <f>IF(B6="","",IFERROR(VLOOKUP(B6,Долги!$A$2:$B$500,2,FALSE),""))</f>
        <v/>
      </c>
    </row>
    <row r="7">
      <c r="A7" s="4" t="n"/>
      <c r="C7" s="7" t="n"/>
      <c r="D7">
        <f>IF(B7="","",IFERROR(VLOOKUP(B7,Долги!$A$2:$B$500,2,FALSE),""))</f>
        <v/>
      </c>
    </row>
    <row r="8">
      <c r="A8" s="4" t="n"/>
      <c r="C8" s="7" t="n"/>
      <c r="D8">
        <f>IF(B8="","",IFERROR(VLOOKUP(B8,Долги!$A$2:$B$500,2,FALSE),""))</f>
        <v/>
      </c>
    </row>
    <row r="9">
      <c r="A9" s="4" t="n"/>
      <c r="C9" s="7" t="n"/>
      <c r="D9">
        <f>IF(B9="","",IFERROR(VLOOKUP(B9,Долги!$A$2:$B$500,2,FALSE),""))</f>
        <v/>
      </c>
    </row>
    <row r="10">
      <c r="A10" s="4" t="n"/>
      <c r="C10" s="7" t="n"/>
      <c r="D10">
        <f>IF(B10="","",IFERROR(VLOOKUP(B10,Долги!$A$2:$B$500,2,FALSE),""))</f>
        <v/>
      </c>
    </row>
    <row r="11">
      <c r="A11" s="4" t="n"/>
      <c r="C11" s="7" t="n"/>
      <c r="D11">
        <f>IF(B11="","",IFERROR(VLOOKUP(B11,Долги!$A$2:$B$500,2,FALSE),""))</f>
        <v/>
      </c>
    </row>
    <row r="12">
      <c r="A12" s="4" t="n"/>
      <c r="C12" s="7" t="n"/>
      <c r="D12">
        <f>IF(B12="","",IFERROR(VLOOKUP(B12,Долги!$A$2:$B$500,2,FALSE),""))</f>
        <v/>
      </c>
    </row>
    <row r="13">
      <c r="A13" s="4" t="n"/>
      <c r="C13" s="7" t="n"/>
      <c r="D13">
        <f>IF(B13="","",IFERROR(VLOOKUP(B13,Долги!$A$2:$B$500,2,FALSE),""))</f>
        <v/>
      </c>
    </row>
    <row r="14">
      <c r="A14" s="4" t="n"/>
      <c r="C14" s="7" t="n"/>
      <c r="D14">
        <f>IF(B14="","",IFERROR(VLOOKUP(B14,Долги!$A$2:$B$500,2,FALSE),""))</f>
        <v/>
      </c>
    </row>
    <row r="15">
      <c r="A15" s="4" t="n"/>
      <c r="C15" s="7" t="n"/>
      <c r="D15">
        <f>IF(B15="","",IFERROR(VLOOKUP(B15,Долги!$A$2:$B$500,2,FALSE),""))</f>
        <v/>
      </c>
    </row>
    <row r="16">
      <c r="A16" s="4" t="n"/>
      <c r="C16" s="7" t="n"/>
      <c r="D16">
        <f>IF(B16="","",IFERROR(VLOOKUP(B16,Долги!$A$2:$B$500,2,FALSE),""))</f>
        <v/>
      </c>
    </row>
    <row r="17">
      <c r="A17" s="4" t="n"/>
      <c r="C17" s="7" t="n"/>
      <c r="D17">
        <f>IF(B17="","",IFERROR(VLOOKUP(B17,Долги!$A$2:$B$500,2,FALSE),""))</f>
        <v/>
      </c>
    </row>
    <row r="18">
      <c r="A18" s="4" t="n"/>
      <c r="C18" s="7" t="n"/>
      <c r="D18">
        <f>IF(B18="","",IFERROR(VLOOKUP(B18,Долги!$A$2:$B$500,2,FALSE),""))</f>
        <v/>
      </c>
    </row>
    <row r="19">
      <c r="A19" s="4" t="n"/>
      <c r="C19" s="7" t="n"/>
      <c r="D19">
        <f>IF(B19="","",IFERROR(VLOOKUP(B19,Долги!$A$2:$B$500,2,FALSE),""))</f>
        <v/>
      </c>
    </row>
    <row r="20">
      <c r="A20" s="4" t="n"/>
      <c r="C20" s="7" t="n"/>
      <c r="D20">
        <f>IF(B20="","",IFERROR(VLOOKUP(B20,Долги!$A$2:$B$500,2,FALSE),""))</f>
        <v/>
      </c>
    </row>
    <row r="21">
      <c r="A21" s="4" t="n"/>
      <c r="C21" s="7" t="n"/>
      <c r="D21">
        <f>IF(B21="","",IFERROR(VLOOKUP(B21,Долги!$A$2:$B$500,2,FALSE),""))</f>
        <v/>
      </c>
    </row>
    <row r="22">
      <c r="A22" s="4" t="n"/>
      <c r="C22" s="7" t="n"/>
      <c r="D22">
        <f>IF(B22="","",IFERROR(VLOOKUP(B22,Долги!$A$2:$B$500,2,FALSE),""))</f>
        <v/>
      </c>
    </row>
    <row r="23">
      <c r="A23" s="4" t="n"/>
      <c r="C23" s="7" t="n"/>
      <c r="D23">
        <f>IF(B23="","",IFERROR(VLOOKUP(B23,Долги!$A$2:$B$500,2,FALSE),""))</f>
        <v/>
      </c>
    </row>
    <row r="24">
      <c r="A24" s="4" t="n"/>
      <c r="C24" s="7" t="n"/>
      <c r="D24">
        <f>IF(B24="","",IFERROR(VLOOKUP(B24,Долги!$A$2:$B$500,2,FALSE),""))</f>
        <v/>
      </c>
    </row>
    <row r="25">
      <c r="A25" s="4" t="n"/>
      <c r="C25" s="7" t="n"/>
      <c r="D25">
        <f>IF(B25="","",IFERROR(VLOOKUP(B25,Долги!$A$2:$B$500,2,FALSE),""))</f>
        <v/>
      </c>
    </row>
    <row r="26">
      <c r="A26" s="4" t="n"/>
      <c r="C26" s="7" t="n"/>
      <c r="D26">
        <f>IF(B26="","",IFERROR(VLOOKUP(B26,Долги!$A$2:$B$500,2,FALSE),""))</f>
        <v/>
      </c>
    </row>
    <row r="27">
      <c r="A27" s="4" t="n"/>
      <c r="C27" s="7" t="n"/>
      <c r="D27">
        <f>IF(B27="","",IFERROR(VLOOKUP(B27,Долги!$A$2:$B$500,2,FALSE),""))</f>
        <v/>
      </c>
    </row>
    <row r="28">
      <c r="A28" s="4" t="n"/>
      <c r="C28" s="7" t="n"/>
      <c r="D28">
        <f>IF(B28="","",IFERROR(VLOOKUP(B28,Долги!$A$2:$B$500,2,FALSE),""))</f>
        <v/>
      </c>
    </row>
    <row r="29">
      <c r="A29" s="4" t="n"/>
      <c r="C29" s="7" t="n"/>
      <c r="D29">
        <f>IF(B29="","",IFERROR(VLOOKUP(B29,Долги!$A$2:$B$500,2,FALSE),""))</f>
        <v/>
      </c>
    </row>
    <row r="30">
      <c r="A30" s="4" t="n"/>
      <c r="C30" s="7" t="n"/>
      <c r="D30">
        <f>IF(B30="","",IFERROR(VLOOKUP(B30,Долги!$A$2:$B$500,2,FALSE),""))</f>
        <v/>
      </c>
    </row>
    <row r="31">
      <c r="A31" s="4" t="n"/>
      <c r="C31" s="7" t="n"/>
      <c r="D31">
        <f>IF(B31="","",IFERROR(VLOOKUP(B31,Долги!$A$2:$B$500,2,FALSE),""))</f>
        <v/>
      </c>
    </row>
    <row r="32">
      <c r="A32" s="4" t="n"/>
      <c r="C32" s="7" t="n"/>
      <c r="D32">
        <f>IF(B32="","",IFERROR(VLOOKUP(B32,Долги!$A$2:$B$500,2,FALSE),""))</f>
        <v/>
      </c>
    </row>
    <row r="33">
      <c r="A33" s="4" t="n"/>
      <c r="C33" s="7" t="n"/>
      <c r="D33">
        <f>IF(B33="","",IFERROR(VLOOKUP(B33,Долги!$A$2:$B$500,2,FALSE),""))</f>
        <v/>
      </c>
    </row>
    <row r="34">
      <c r="A34" s="4" t="n"/>
      <c r="C34" s="7" t="n"/>
      <c r="D34">
        <f>IF(B34="","",IFERROR(VLOOKUP(B34,Долги!$A$2:$B$500,2,FALSE),""))</f>
        <v/>
      </c>
    </row>
    <row r="35">
      <c r="A35" s="4" t="n"/>
      <c r="C35" s="7" t="n"/>
      <c r="D35">
        <f>IF(B35="","",IFERROR(VLOOKUP(B35,Долги!$A$2:$B$500,2,FALSE),""))</f>
        <v/>
      </c>
    </row>
    <row r="36">
      <c r="A36" s="4" t="n"/>
      <c r="C36" s="7" t="n"/>
      <c r="D36">
        <f>IF(B36="","",IFERROR(VLOOKUP(B36,Долги!$A$2:$B$500,2,FALSE),""))</f>
        <v/>
      </c>
    </row>
    <row r="37">
      <c r="A37" s="4" t="n"/>
      <c r="C37" s="7" t="n"/>
      <c r="D37">
        <f>IF(B37="","",IFERROR(VLOOKUP(B37,Долги!$A$2:$B$500,2,FALSE),""))</f>
        <v/>
      </c>
    </row>
    <row r="38">
      <c r="A38" s="4" t="n"/>
      <c r="C38" s="7" t="n"/>
      <c r="D38">
        <f>IF(B38="","",IFERROR(VLOOKUP(B38,Долги!$A$2:$B$500,2,FALSE),""))</f>
        <v/>
      </c>
    </row>
    <row r="39">
      <c r="A39" s="4" t="n"/>
      <c r="C39" s="7" t="n"/>
      <c r="D39">
        <f>IF(B39="","",IFERROR(VLOOKUP(B39,Долги!$A$2:$B$500,2,FALSE),""))</f>
        <v/>
      </c>
    </row>
    <row r="40">
      <c r="A40" s="4" t="n"/>
      <c r="C40" s="7" t="n"/>
      <c r="D40">
        <f>IF(B40="","",IFERROR(VLOOKUP(B40,Долги!$A$2:$B$500,2,FALSE),""))</f>
        <v/>
      </c>
    </row>
    <row r="41">
      <c r="A41" s="4" t="n"/>
      <c r="C41" s="7" t="n"/>
      <c r="D41">
        <f>IF(B41="","",IFERROR(VLOOKUP(B41,Долги!$A$2:$B$500,2,FALSE),""))</f>
        <v/>
      </c>
    </row>
    <row r="42">
      <c r="A42" s="4" t="n"/>
      <c r="C42" s="7" t="n"/>
      <c r="D42">
        <f>IF(B42="","",IFERROR(VLOOKUP(B42,Долги!$A$2:$B$500,2,FALSE),""))</f>
        <v/>
      </c>
    </row>
    <row r="43">
      <c r="A43" s="4" t="n"/>
      <c r="C43" s="7" t="n"/>
      <c r="D43">
        <f>IF(B43="","",IFERROR(VLOOKUP(B43,Долги!$A$2:$B$500,2,FALSE),""))</f>
        <v/>
      </c>
    </row>
    <row r="44">
      <c r="A44" s="4" t="n"/>
      <c r="C44" s="7" t="n"/>
      <c r="D44">
        <f>IF(B44="","",IFERROR(VLOOKUP(B44,Долги!$A$2:$B$500,2,FALSE),""))</f>
        <v/>
      </c>
    </row>
    <row r="45">
      <c r="A45" s="4" t="n"/>
      <c r="C45" s="7" t="n"/>
      <c r="D45">
        <f>IF(B45="","",IFERROR(VLOOKUP(B45,Долги!$A$2:$B$500,2,FALSE),""))</f>
        <v/>
      </c>
    </row>
    <row r="46">
      <c r="A46" s="4" t="n"/>
      <c r="C46" s="7" t="n"/>
      <c r="D46">
        <f>IF(B46="","",IFERROR(VLOOKUP(B46,Долги!$A$2:$B$500,2,FALSE),""))</f>
        <v/>
      </c>
    </row>
    <row r="47">
      <c r="A47" s="4" t="n"/>
      <c r="C47" s="7" t="n"/>
      <c r="D47">
        <f>IF(B47="","",IFERROR(VLOOKUP(B47,Долги!$A$2:$B$500,2,FALSE),""))</f>
        <v/>
      </c>
    </row>
    <row r="48">
      <c r="A48" s="4" t="n"/>
      <c r="C48" s="7" t="n"/>
      <c r="D48">
        <f>IF(B48="","",IFERROR(VLOOKUP(B48,Долги!$A$2:$B$500,2,FALSE),""))</f>
        <v/>
      </c>
    </row>
    <row r="49">
      <c r="A49" s="4" t="n"/>
      <c r="C49" s="7" t="n"/>
      <c r="D49">
        <f>IF(B49="","",IFERROR(VLOOKUP(B49,Долги!$A$2:$B$500,2,FALSE),""))</f>
        <v/>
      </c>
    </row>
    <row r="50">
      <c r="A50" s="4" t="n"/>
      <c r="C50" s="7" t="n"/>
      <c r="D50">
        <f>IF(B50="","",IFERROR(VLOOKUP(B50,Долги!$A$2:$B$500,2,FALSE),""))</f>
        <v/>
      </c>
    </row>
    <row r="51">
      <c r="A51" s="4" t="n"/>
      <c r="C51" s="7" t="n"/>
      <c r="D51">
        <f>IF(B51="","",IFERROR(VLOOKUP(B51,Долги!$A$2:$B$500,2,FALSE),""))</f>
        <v/>
      </c>
    </row>
    <row r="52">
      <c r="A52" s="4" t="n"/>
      <c r="C52" s="7" t="n"/>
      <c r="D52">
        <f>IF(B52="","",IFERROR(VLOOKUP(B52,Долги!$A$2:$B$500,2,FALSE),""))</f>
        <v/>
      </c>
    </row>
    <row r="53">
      <c r="A53" s="4" t="n"/>
      <c r="C53" s="7" t="n"/>
      <c r="D53">
        <f>IF(B53="","",IFERROR(VLOOKUP(B53,Долги!$A$2:$B$500,2,FALSE),""))</f>
        <v/>
      </c>
    </row>
    <row r="54">
      <c r="A54" s="4" t="n"/>
      <c r="C54" s="7" t="n"/>
      <c r="D54">
        <f>IF(B54="","",IFERROR(VLOOKUP(B54,Долги!$A$2:$B$500,2,FALSE),""))</f>
        <v/>
      </c>
    </row>
    <row r="55">
      <c r="A55" s="4" t="n"/>
      <c r="C55" s="7" t="n"/>
      <c r="D55">
        <f>IF(B55="","",IFERROR(VLOOKUP(B55,Долги!$A$2:$B$500,2,FALSE),""))</f>
        <v/>
      </c>
    </row>
    <row r="56">
      <c r="A56" s="4" t="n"/>
      <c r="C56" s="7" t="n"/>
      <c r="D56">
        <f>IF(B56="","",IFERROR(VLOOKUP(B56,Долги!$A$2:$B$500,2,FALSE),""))</f>
        <v/>
      </c>
    </row>
    <row r="57">
      <c r="A57" s="4" t="n"/>
      <c r="C57" s="7" t="n"/>
      <c r="D57">
        <f>IF(B57="","",IFERROR(VLOOKUP(B57,Долги!$A$2:$B$500,2,FALSE),""))</f>
        <v/>
      </c>
    </row>
    <row r="58">
      <c r="A58" s="4" t="n"/>
      <c r="C58" s="7" t="n"/>
      <c r="D58">
        <f>IF(B58="","",IFERROR(VLOOKUP(B58,Долги!$A$2:$B$500,2,FALSE),""))</f>
        <v/>
      </c>
    </row>
    <row r="59">
      <c r="A59" s="4" t="n"/>
      <c r="C59" s="7" t="n"/>
      <c r="D59">
        <f>IF(B59="","",IFERROR(VLOOKUP(B59,Долги!$A$2:$B$500,2,FALSE),""))</f>
        <v/>
      </c>
    </row>
    <row r="60">
      <c r="A60" s="4" t="n"/>
      <c r="C60" s="7" t="n"/>
      <c r="D60">
        <f>IF(B60="","",IFERROR(VLOOKUP(B60,Долги!$A$2:$B$500,2,FALSE),""))</f>
        <v/>
      </c>
    </row>
    <row r="61">
      <c r="A61" s="4" t="n"/>
      <c r="C61" s="7" t="n"/>
      <c r="D61">
        <f>IF(B61="","",IFERROR(VLOOKUP(B61,Долги!$A$2:$B$500,2,FALSE),""))</f>
        <v/>
      </c>
    </row>
    <row r="62">
      <c r="A62" s="4" t="n"/>
      <c r="C62" s="7" t="n"/>
      <c r="D62">
        <f>IF(B62="","",IFERROR(VLOOKUP(B62,Долги!$A$2:$B$500,2,FALSE),""))</f>
        <v/>
      </c>
    </row>
    <row r="63">
      <c r="A63" s="4" t="n"/>
      <c r="C63" s="7" t="n"/>
      <c r="D63">
        <f>IF(B63="","",IFERROR(VLOOKUP(B63,Долги!$A$2:$B$500,2,FALSE),""))</f>
        <v/>
      </c>
    </row>
    <row r="64">
      <c r="A64" s="4" t="n"/>
      <c r="C64" s="7" t="n"/>
      <c r="D64">
        <f>IF(B64="","",IFERROR(VLOOKUP(B64,Долги!$A$2:$B$500,2,FALSE),""))</f>
        <v/>
      </c>
    </row>
    <row r="65">
      <c r="A65" s="4" t="n"/>
      <c r="C65" s="7" t="n"/>
      <c r="D65">
        <f>IF(B65="","",IFERROR(VLOOKUP(B65,Долги!$A$2:$B$500,2,FALSE),""))</f>
        <v/>
      </c>
    </row>
    <row r="66">
      <c r="A66" s="4" t="n"/>
      <c r="C66" s="7" t="n"/>
      <c r="D66">
        <f>IF(B66="","",IFERROR(VLOOKUP(B66,Долги!$A$2:$B$500,2,FALSE),""))</f>
        <v/>
      </c>
    </row>
    <row r="67">
      <c r="A67" s="4" t="n"/>
      <c r="C67" s="7" t="n"/>
      <c r="D67">
        <f>IF(B67="","",IFERROR(VLOOKUP(B67,Долги!$A$2:$B$500,2,FALSE),""))</f>
        <v/>
      </c>
    </row>
    <row r="68">
      <c r="A68" s="4" t="n"/>
      <c r="C68" s="7" t="n"/>
      <c r="D68">
        <f>IF(B68="","",IFERROR(VLOOKUP(B68,Долги!$A$2:$B$500,2,FALSE),""))</f>
        <v/>
      </c>
    </row>
    <row r="69">
      <c r="A69" s="4" t="n"/>
      <c r="C69" s="7" t="n"/>
      <c r="D69">
        <f>IF(B69="","",IFERROR(VLOOKUP(B69,Долги!$A$2:$B$500,2,FALSE),""))</f>
        <v/>
      </c>
    </row>
    <row r="70">
      <c r="A70" s="4" t="n"/>
      <c r="C70" s="7" t="n"/>
      <c r="D70">
        <f>IF(B70="","",IFERROR(VLOOKUP(B70,Долги!$A$2:$B$500,2,FALSE),""))</f>
        <v/>
      </c>
    </row>
    <row r="71">
      <c r="A71" s="4" t="n"/>
      <c r="C71" s="7" t="n"/>
      <c r="D71">
        <f>IF(B71="","",IFERROR(VLOOKUP(B71,Долги!$A$2:$B$500,2,FALSE),""))</f>
        <v/>
      </c>
    </row>
    <row r="72">
      <c r="A72" s="4" t="n"/>
      <c r="C72" s="7" t="n"/>
      <c r="D72">
        <f>IF(B72="","",IFERROR(VLOOKUP(B72,Долги!$A$2:$B$500,2,FALSE),""))</f>
        <v/>
      </c>
    </row>
    <row r="73">
      <c r="A73" s="4" t="n"/>
      <c r="C73" s="7" t="n"/>
      <c r="D73">
        <f>IF(B73="","",IFERROR(VLOOKUP(B73,Долги!$A$2:$B$500,2,FALSE),""))</f>
        <v/>
      </c>
    </row>
    <row r="74">
      <c r="A74" s="4" t="n"/>
      <c r="C74" s="7" t="n"/>
      <c r="D74">
        <f>IF(B74="","",IFERROR(VLOOKUP(B74,Долги!$A$2:$B$500,2,FALSE),""))</f>
        <v/>
      </c>
    </row>
    <row r="75">
      <c r="A75" s="4" t="n"/>
      <c r="C75" s="7" t="n"/>
      <c r="D75">
        <f>IF(B75="","",IFERROR(VLOOKUP(B75,Долги!$A$2:$B$500,2,FALSE),""))</f>
        <v/>
      </c>
    </row>
    <row r="76">
      <c r="A76" s="4" t="n"/>
      <c r="C76" s="7" t="n"/>
      <c r="D76">
        <f>IF(B76="","",IFERROR(VLOOKUP(B76,Долги!$A$2:$B$500,2,FALSE),""))</f>
        <v/>
      </c>
    </row>
    <row r="77">
      <c r="A77" s="4" t="n"/>
      <c r="C77" s="7" t="n"/>
      <c r="D77">
        <f>IF(B77="","",IFERROR(VLOOKUP(B77,Долги!$A$2:$B$500,2,FALSE),""))</f>
        <v/>
      </c>
    </row>
    <row r="78">
      <c r="A78" s="4" t="n"/>
      <c r="C78" s="7" t="n"/>
      <c r="D78">
        <f>IF(B78="","",IFERROR(VLOOKUP(B78,Долги!$A$2:$B$500,2,FALSE),""))</f>
        <v/>
      </c>
    </row>
    <row r="79">
      <c r="A79" s="4" t="n"/>
      <c r="C79" s="7" t="n"/>
      <c r="D79">
        <f>IF(B79="","",IFERROR(VLOOKUP(B79,Долги!$A$2:$B$500,2,FALSE),""))</f>
        <v/>
      </c>
    </row>
    <row r="80">
      <c r="A80" s="4" t="n"/>
      <c r="C80" s="7" t="n"/>
      <c r="D80">
        <f>IF(B80="","",IFERROR(VLOOKUP(B80,Долги!$A$2:$B$500,2,FALSE),""))</f>
        <v/>
      </c>
    </row>
    <row r="81">
      <c r="A81" s="4" t="n"/>
      <c r="C81" s="7" t="n"/>
      <c r="D81">
        <f>IF(B81="","",IFERROR(VLOOKUP(B81,Долги!$A$2:$B$500,2,FALSE),""))</f>
        <v/>
      </c>
    </row>
    <row r="82">
      <c r="A82" s="4" t="n"/>
      <c r="C82" s="7" t="n"/>
      <c r="D82">
        <f>IF(B82="","",IFERROR(VLOOKUP(B82,Долги!$A$2:$B$500,2,FALSE),""))</f>
        <v/>
      </c>
    </row>
    <row r="83">
      <c r="A83" s="4" t="n"/>
      <c r="C83" s="7" t="n"/>
      <c r="D83">
        <f>IF(B83="","",IFERROR(VLOOKUP(B83,Долги!$A$2:$B$500,2,FALSE),""))</f>
        <v/>
      </c>
    </row>
    <row r="84">
      <c r="A84" s="4" t="n"/>
      <c r="C84" s="7" t="n"/>
      <c r="D84">
        <f>IF(B84="","",IFERROR(VLOOKUP(B84,Долги!$A$2:$B$500,2,FALSE),""))</f>
        <v/>
      </c>
    </row>
    <row r="85">
      <c r="A85" s="4" t="n"/>
      <c r="C85" s="7" t="n"/>
      <c r="D85">
        <f>IF(B85="","",IFERROR(VLOOKUP(B85,Долги!$A$2:$B$500,2,FALSE),""))</f>
        <v/>
      </c>
    </row>
    <row r="86">
      <c r="A86" s="4" t="n"/>
      <c r="C86" s="7" t="n"/>
      <c r="D86">
        <f>IF(B86="","",IFERROR(VLOOKUP(B86,Долги!$A$2:$B$500,2,FALSE),""))</f>
        <v/>
      </c>
    </row>
    <row r="87">
      <c r="A87" s="4" t="n"/>
      <c r="C87" s="7" t="n"/>
      <c r="D87">
        <f>IF(B87="","",IFERROR(VLOOKUP(B87,Долги!$A$2:$B$500,2,FALSE),""))</f>
        <v/>
      </c>
    </row>
    <row r="88">
      <c r="A88" s="4" t="n"/>
      <c r="C88" s="7" t="n"/>
      <c r="D88">
        <f>IF(B88="","",IFERROR(VLOOKUP(B88,Долги!$A$2:$B$500,2,FALSE),""))</f>
        <v/>
      </c>
    </row>
    <row r="89">
      <c r="A89" s="4" t="n"/>
      <c r="C89" s="7" t="n"/>
      <c r="D89">
        <f>IF(B89="","",IFERROR(VLOOKUP(B89,Долги!$A$2:$B$500,2,FALSE),""))</f>
        <v/>
      </c>
    </row>
    <row r="90">
      <c r="A90" s="4" t="n"/>
      <c r="C90" s="7" t="n"/>
      <c r="D90">
        <f>IF(B90="","",IFERROR(VLOOKUP(B90,Долги!$A$2:$B$500,2,FALSE),""))</f>
        <v/>
      </c>
    </row>
    <row r="91">
      <c r="A91" s="4" t="n"/>
      <c r="C91" s="7" t="n"/>
      <c r="D91">
        <f>IF(B91="","",IFERROR(VLOOKUP(B91,Долги!$A$2:$B$500,2,FALSE),""))</f>
        <v/>
      </c>
    </row>
    <row r="92">
      <c r="A92" s="4" t="n"/>
      <c r="C92" s="7" t="n"/>
      <c r="D92">
        <f>IF(B92="","",IFERROR(VLOOKUP(B92,Долги!$A$2:$B$500,2,FALSE),""))</f>
        <v/>
      </c>
    </row>
    <row r="93">
      <c r="A93" s="4" t="n"/>
      <c r="C93" s="7" t="n"/>
      <c r="D93">
        <f>IF(B93="","",IFERROR(VLOOKUP(B93,Долги!$A$2:$B$500,2,FALSE),""))</f>
        <v/>
      </c>
    </row>
    <row r="94">
      <c r="A94" s="4" t="n"/>
      <c r="C94" s="7" t="n"/>
      <c r="D94">
        <f>IF(B94="","",IFERROR(VLOOKUP(B94,Долги!$A$2:$B$500,2,FALSE),""))</f>
        <v/>
      </c>
    </row>
    <row r="95">
      <c r="A95" s="4" t="n"/>
      <c r="C95" s="7" t="n"/>
      <c r="D95">
        <f>IF(B95="","",IFERROR(VLOOKUP(B95,Долги!$A$2:$B$500,2,FALSE),""))</f>
        <v/>
      </c>
    </row>
    <row r="96">
      <c r="A96" s="4" t="n"/>
      <c r="C96" s="7" t="n"/>
      <c r="D96">
        <f>IF(B96="","",IFERROR(VLOOKUP(B96,Долги!$A$2:$B$500,2,FALSE),""))</f>
        <v/>
      </c>
    </row>
    <row r="97">
      <c r="A97" s="4" t="n"/>
      <c r="C97" s="7" t="n"/>
      <c r="D97">
        <f>IF(B97="","",IFERROR(VLOOKUP(B97,Долги!$A$2:$B$500,2,FALSE),""))</f>
        <v/>
      </c>
    </row>
    <row r="98">
      <c r="A98" s="4" t="n"/>
      <c r="C98" s="7" t="n"/>
      <c r="D98">
        <f>IF(B98="","",IFERROR(VLOOKUP(B98,Долги!$A$2:$B$500,2,FALSE),""))</f>
        <v/>
      </c>
    </row>
    <row r="99">
      <c r="A99" s="4" t="n"/>
      <c r="C99" s="7" t="n"/>
      <c r="D99">
        <f>IF(B99="","",IFERROR(VLOOKUP(B99,Долги!$A$2:$B$500,2,FALSE),""))</f>
        <v/>
      </c>
    </row>
    <row r="100">
      <c r="A100" s="4" t="n"/>
      <c r="C100" s="7" t="n"/>
      <c r="D100">
        <f>IF(B100="","",IFERROR(VLOOKUP(B100,Долги!$A$2:$B$500,2,FALSE),""))</f>
        <v/>
      </c>
    </row>
    <row r="101">
      <c r="A101" s="4" t="n"/>
      <c r="C101" s="7" t="n"/>
      <c r="D101">
        <f>IF(B101="","",IFERROR(VLOOKUP(B101,Долги!$A$2:$B$500,2,FALSE),""))</f>
        <v/>
      </c>
    </row>
    <row r="102">
      <c r="A102" s="4" t="n"/>
      <c r="C102" s="7" t="n"/>
      <c r="D102">
        <f>IF(B102="","",IFERROR(VLOOKUP(B102,Долги!$A$2:$B$500,2,FALSE),""))</f>
        <v/>
      </c>
    </row>
    <row r="103">
      <c r="A103" s="4" t="n"/>
      <c r="C103" s="7" t="n"/>
      <c r="D103">
        <f>IF(B103="","",IFERROR(VLOOKUP(B103,Долги!$A$2:$B$500,2,FALSE),""))</f>
        <v/>
      </c>
    </row>
    <row r="104">
      <c r="A104" s="4" t="n"/>
      <c r="C104" s="7" t="n"/>
      <c r="D104">
        <f>IF(B104="","",IFERROR(VLOOKUP(B104,Долги!$A$2:$B$500,2,FALSE),""))</f>
        <v/>
      </c>
    </row>
    <row r="105">
      <c r="A105" s="4" t="n"/>
      <c r="C105" s="7" t="n"/>
      <c r="D105">
        <f>IF(B105="","",IFERROR(VLOOKUP(B105,Долги!$A$2:$B$500,2,FALSE),""))</f>
        <v/>
      </c>
    </row>
    <row r="106">
      <c r="A106" s="4" t="n"/>
      <c r="C106" s="7" t="n"/>
      <c r="D106">
        <f>IF(B106="","",IFERROR(VLOOKUP(B106,Долги!$A$2:$B$500,2,FALSE),""))</f>
        <v/>
      </c>
    </row>
    <row r="107">
      <c r="A107" s="4" t="n"/>
      <c r="C107" s="7" t="n"/>
      <c r="D107">
        <f>IF(B107="","",IFERROR(VLOOKUP(B107,Долги!$A$2:$B$500,2,FALSE),""))</f>
        <v/>
      </c>
    </row>
    <row r="108">
      <c r="A108" s="4" t="n"/>
      <c r="C108" s="7" t="n"/>
      <c r="D108">
        <f>IF(B108="","",IFERROR(VLOOKUP(B108,Долги!$A$2:$B$500,2,FALSE),""))</f>
        <v/>
      </c>
    </row>
    <row r="109">
      <c r="A109" s="4" t="n"/>
      <c r="C109" s="7" t="n"/>
      <c r="D109">
        <f>IF(B109="","",IFERROR(VLOOKUP(B109,Долги!$A$2:$B$500,2,FALSE),""))</f>
        <v/>
      </c>
    </row>
    <row r="110">
      <c r="A110" s="4" t="n"/>
      <c r="C110" s="7" t="n"/>
      <c r="D110">
        <f>IF(B110="","",IFERROR(VLOOKUP(B110,Долги!$A$2:$B$500,2,FALSE),""))</f>
        <v/>
      </c>
    </row>
    <row r="111">
      <c r="A111" s="4" t="n"/>
      <c r="C111" s="7" t="n"/>
      <c r="D111">
        <f>IF(B111="","",IFERROR(VLOOKUP(B111,Долги!$A$2:$B$500,2,FALSE),""))</f>
        <v/>
      </c>
    </row>
    <row r="112">
      <c r="A112" s="4" t="n"/>
      <c r="C112" s="7" t="n"/>
      <c r="D112">
        <f>IF(B112="","",IFERROR(VLOOKUP(B112,Долги!$A$2:$B$500,2,FALSE),""))</f>
        <v/>
      </c>
    </row>
    <row r="113">
      <c r="A113" s="4" t="n"/>
      <c r="C113" s="7" t="n"/>
      <c r="D113">
        <f>IF(B113="","",IFERROR(VLOOKUP(B113,Долги!$A$2:$B$500,2,FALSE),""))</f>
        <v/>
      </c>
    </row>
    <row r="114">
      <c r="A114" s="4" t="n"/>
      <c r="C114" s="7" t="n"/>
      <c r="D114">
        <f>IF(B114="","",IFERROR(VLOOKUP(B114,Долги!$A$2:$B$500,2,FALSE),""))</f>
        <v/>
      </c>
    </row>
    <row r="115">
      <c r="A115" s="4" t="n"/>
      <c r="C115" s="7" t="n"/>
      <c r="D115">
        <f>IF(B115="","",IFERROR(VLOOKUP(B115,Долги!$A$2:$B$500,2,FALSE),""))</f>
        <v/>
      </c>
    </row>
    <row r="116">
      <c r="A116" s="4" t="n"/>
      <c r="C116" s="7" t="n"/>
      <c r="D116">
        <f>IF(B116="","",IFERROR(VLOOKUP(B116,Долги!$A$2:$B$500,2,FALSE),""))</f>
        <v/>
      </c>
    </row>
    <row r="117">
      <c r="A117" s="4" t="n"/>
      <c r="C117" s="7" t="n"/>
      <c r="D117">
        <f>IF(B117="","",IFERROR(VLOOKUP(B117,Долги!$A$2:$B$500,2,FALSE),""))</f>
        <v/>
      </c>
    </row>
    <row r="118">
      <c r="A118" s="4" t="n"/>
      <c r="C118" s="7" t="n"/>
      <c r="D118">
        <f>IF(B118="","",IFERROR(VLOOKUP(B118,Долги!$A$2:$B$500,2,FALSE),""))</f>
        <v/>
      </c>
    </row>
    <row r="119">
      <c r="A119" s="4" t="n"/>
      <c r="C119" s="7" t="n"/>
      <c r="D119">
        <f>IF(B119="","",IFERROR(VLOOKUP(B119,Долги!$A$2:$B$500,2,FALSE),""))</f>
        <v/>
      </c>
    </row>
    <row r="120">
      <c r="A120" s="4" t="n"/>
      <c r="C120" s="7" t="n"/>
      <c r="D120">
        <f>IF(B120="","",IFERROR(VLOOKUP(B120,Долги!$A$2:$B$500,2,FALSE),""))</f>
        <v/>
      </c>
    </row>
    <row r="121">
      <c r="A121" s="4" t="n"/>
      <c r="C121" s="7" t="n"/>
      <c r="D121">
        <f>IF(B121="","",IFERROR(VLOOKUP(B121,Долги!$A$2:$B$500,2,FALSE),""))</f>
        <v/>
      </c>
    </row>
    <row r="122">
      <c r="A122" s="4" t="n"/>
      <c r="C122" s="7" t="n"/>
      <c r="D122">
        <f>IF(B122="","",IFERROR(VLOOKUP(B122,Долги!$A$2:$B$500,2,FALSE),""))</f>
        <v/>
      </c>
    </row>
    <row r="123">
      <c r="A123" s="4" t="n"/>
      <c r="C123" s="7" t="n"/>
      <c r="D123">
        <f>IF(B123="","",IFERROR(VLOOKUP(B123,Долги!$A$2:$B$500,2,FALSE),""))</f>
        <v/>
      </c>
    </row>
    <row r="124">
      <c r="A124" s="4" t="n"/>
      <c r="C124" s="7" t="n"/>
      <c r="D124">
        <f>IF(B124="","",IFERROR(VLOOKUP(B124,Долги!$A$2:$B$500,2,FALSE),""))</f>
        <v/>
      </c>
    </row>
    <row r="125">
      <c r="A125" s="4" t="n"/>
      <c r="C125" s="7" t="n"/>
      <c r="D125">
        <f>IF(B125="","",IFERROR(VLOOKUP(B125,Долги!$A$2:$B$500,2,FALSE),""))</f>
        <v/>
      </c>
    </row>
    <row r="126">
      <c r="A126" s="4" t="n"/>
      <c r="C126" s="7" t="n"/>
      <c r="D126">
        <f>IF(B126="","",IFERROR(VLOOKUP(B126,Долги!$A$2:$B$500,2,FALSE),""))</f>
        <v/>
      </c>
    </row>
    <row r="127">
      <c r="A127" s="4" t="n"/>
      <c r="C127" s="7" t="n"/>
      <c r="D127">
        <f>IF(B127="","",IFERROR(VLOOKUP(B127,Долги!$A$2:$B$500,2,FALSE),""))</f>
        <v/>
      </c>
    </row>
    <row r="128">
      <c r="A128" s="4" t="n"/>
      <c r="C128" s="7" t="n"/>
      <c r="D128">
        <f>IF(B128="","",IFERROR(VLOOKUP(B128,Долги!$A$2:$B$500,2,FALSE),""))</f>
        <v/>
      </c>
    </row>
    <row r="129">
      <c r="A129" s="4" t="n"/>
      <c r="C129" s="7" t="n"/>
      <c r="D129">
        <f>IF(B129="","",IFERROR(VLOOKUP(B129,Долги!$A$2:$B$500,2,FALSE),""))</f>
        <v/>
      </c>
    </row>
    <row r="130">
      <c r="A130" s="4" t="n"/>
      <c r="C130" s="7" t="n"/>
      <c r="D130">
        <f>IF(B130="","",IFERROR(VLOOKUP(B130,Долги!$A$2:$B$500,2,FALSE),""))</f>
        <v/>
      </c>
    </row>
    <row r="131">
      <c r="A131" s="4" t="n"/>
      <c r="C131" s="7" t="n"/>
      <c r="D131">
        <f>IF(B131="","",IFERROR(VLOOKUP(B131,Долги!$A$2:$B$500,2,FALSE),""))</f>
        <v/>
      </c>
    </row>
    <row r="132">
      <c r="A132" s="4" t="n"/>
      <c r="C132" s="7" t="n"/>
      <c r="D132">
        <f>IF(B132="","",IFERROR(VLOOKUP(B132,Долги!$A$2:$B$500,2,FALSE),""))</f>
        <v/>
      </c>
    </row>
    <row r="133">
      <c r="A133" s="4" t="n"/>
      <c r="C133" s="7" t="n"/>
      <c r="D133">
        <f>IF(B133="","",IFERROR(VLOOKUP(B133,Долги!$A$2:$B$500,2,FALSE),""))</f>
        <v/>
      </c>
    </row>
    <row r="134">
      <c r="A134" s="4" t="n"/>
      <c r="C134" s="7" t="n"/>
      <c r="D134">
        <f>IF(B134="","",IFERROR(VLOOKUP(B134,Долги!$A$2:$B$500,2,FALSE),""))</f>
        <v/>
      </c>
    </row>
    <row r="135">
      <c r="A135" s="4" t="n"/>
      <c r="C135" s="7" t="n"/>
      <c r="D135">
        <f>IF(B135="","",IFERROR(VLOOKUP(B135,Долги!$A$2:$B$500,2,FALSE),""))</f>
        <v/>
      </c>
    </row>
    <row r="136">
      <c r="A136" s="4" t="n"/>
      <c r="C136" s="7" t="n"/>
      <c r="D136">
        <f>IF(B136="","",IFERROR(VLOOKUP(B136,Долги!$A$2:$B$500,2,FALSE),""))</f>
        <v/>
      </c>
    </row>
    <row r="137">
      <c r="A137" s="4" t="n"/>
      <c r="C137" s="7" t="n"/>
      <c r="D137">
        <f>IF(B137="","",IFERROR(VLOOKUP(B137,Долги!$A$2:$B$500,2,FALSE),""))</f>
        <v/>
      </c>
    </row>
    <row r="138">
      <c r="A138" s="4" t="n"/>
      <c r="C138" s="7" t="n"/>
      <c r="D138">
        <f>IF(B138="","",IFERROR(VLOOKUP(B138,Долги!$A$2:$B$500,2,FALSE),""))</f>
        <v/>
      </c>
    </row>
    <row r="139">
      <c r="A139" s="4" t="n"/>
      <c r="C139" s="7" t="n"/>
      <c r="D139">
        <f>IF(B139="","",IFERROR(VLOOKUP(B139,Долги!$A$2:$B$500,2,FALSE),""))</f>
        <v/>
      </c>
    </row>
    <row r="140">
      <c r="A140" s="4" t="n"/>
      <c r="C140" s="7" t="n"/>
      <c r="D140">
        <f>IF(B140="","",IFERROR(VLOOKUP(B140,Долги!$A$2:$B$500,2,FALSE),""))</f>
        <v/>
      </c>
    </row>
    <row r="141">
      <c r="A141" s="4" t="n"/>
      <c r="C141" s="7" t="n"/>
      <c r="D141">
        <f>IF(B141="","",IFERROR(VLOOKUP(B141,Долги!$A$2:$B$500,2,FALSE),""))</f>
        <v/>
      </c>
    </row>
    <row r="142">
      <c r="A142" s="4" t="n"/>
      <c r="C142" s="7" t="n"/>
      <c r="D142">
        <f>IF(B142="","",IFERROR(VLOOKUP(B142,Долги!$A$2:$B$500,2,FALSE),""))</f>
        <v/>
      </c>
    </row>
    <row r="143">
      <c r="A143" s="4" t="n"/>
      <c r="C143" s="7" t="n"/>
      <c r="D143">
        <f>IF(B143="","",IFERROR(VLOOKUP(B143,Долги!$A$2:$B$500,2,FALSE),""))</f>
        <v/>
      </c>
    </row>
    <row r="144">
      <c r="A144" s="4" t="n"/>
      <c r="C144" s="7" t="n"/>
      <c r="D144">
        <f>IF(B144="","",IFERROR(VLOOKUP(B144,Долги!$A$2:$B$500,2,FALSE),""))</f>
        <v/>
      </c>
    </row>
    <row r="145">
      <c r="A145" s="4" t="n"/>
      <c r="C145" s="7" t="n"/>
      <c r="D145">
        <f>IF(B145="","",IFERROR(VLOOKUP(B145,Долги!$A$2:$B$500,2,FALSE),""))</f>
        <v/>
      </c>
    </row>
    <row r="146">
      <c r="A146" s="4" t="n"/>
      <c r="C146" s="7" t="n"/>
      <c r="D146">
        <f>IF(B146="","",IFERROR(VLOOKUP(B146,Долги!$A$2:$B$500,2,FALSE),""))</f>
        <v/>
      </c>
    </row>
    <row r="147">
      <c r="A147" s="4" t="n"/>
      <c r="C147" s="7" t="n"/>
      <c r="D147">
        <f>IF(B147="","",IFERROR(VLOOKUP(B147,Долги!$A$2:$B$500,2,FALSE),""))</f>
        <v/>
      </c>
    </row>
    <row r="148">
      <c r="A148" s="4" t="n"/>
      <c r="C148" s="7" t="n"/>
      <c r="D148">
        <f>IF(B148="","",IFERROR(VLOOKUP(B148,Долги!$A$2:$B$500,2,FALSE),""))</f>
        <v/>
      </c>
    </row>
    <row r="149">
      <c r="A149" s="4" t="n"/>
      <c r="C149" s="7" t="n"/>
      <c r="D149">
        <f>IF(B149="","",IFERROR(VLOOKUP(B149,Долги!$A$2:$B$500,2,FALSE),""))</f>
        <v/>
      </c>
    </row>
    <row r="150">
      <c r="A150" s="4" t="n"/>
      <c r="C150" s="7" t="n"/>
      <c r="D150">
        <f>IF(B150="","",IFERROR(VLOOKUP(B150,Долги!$A$2:$B$500,2,FALSE),""))</f>
        <v/>
      </c>
    </row>
    <row r="151">
      <c r="A151" s="4" t="n"/>
      <c r="C151" s="7" t="n"/>
      <c r="D151">
        <f>IF(B151="","",IFERROR(VLOOKUP(B151,Долги!$A$2:$B$500,2,FALSE),""))</f>
        <v/>
      </c>
    </row>
    <row r="152">
      <c r="A152" s="4" t="n"/>
      <c r="C152" s="7" t="n"/>
      <c r="D152">
        <f>IF(B152="","",IFERROR(VLOOKUP(B152,Долги!$A$2:$B$500,2,FALSE),""))</f>
        <v/>
      </c>
    </row>
    <row r="153">
      <c r="A153" s="4" t="n"/>
      <c r="C153" s="7" t="n"/>
      <c r="D153">
        <f>IF(B153="","",IFERROR(VLOOKUP(B153,Долги!$A$2:$B$500,2,FALSE),""))</f>
        <v/>
      </c>
    </row>
    <row r="154">
      <c r="A154" s="4" t="n"/>
      <c r="C154" s="7" t="n"/>
      <c r="D154">
        <f>IF(B154="","",IFERROR(VLOOKUP(B154,Долги!$A$2:$B$500,2,FALSE),""))</f>
        <v/>
      </c>
    </row>
    <row r="155">
      <c r="A155" s="4" t="n"/>
      <c r="C155" s="7" t="n"/>
      <c r="D155">
        <f>IF(B155="","",IFERROR(VLOOKUP(B155,Долги!$A$2:$B$500,2,FALSE),""))</f>
        <v/>
      </c>
    </row>
    <row r="156">
      <c r="A156" s="4" t="n"/>
      <c r="C156" s="7" t="n"/>
      <c r="D156">
        <f>IF(B156="","",IFERROR(VLOOKUP(B156,Долги!$A$2:$B$500,2,FALSE),""))</f>
        <v/>
      </c>
    </row>
    <row r="157">
      <c r="A157" s="4" t="n"/>
      <c r="C157" s="7" t="n"/>
      <c r="D157">
        <f>IF(B157="","",IFERROR(VLOOKUP(B157,Долги!$A$2:$B$500,2,FALSE),""))</f>
        <v/>
      </c>
    </row>
    <row r="158">
      <c r="A158" s="4" t="n"/>
      <c r="C158" s="7" t="n"/>
      <c r="D158">
        <f>IF(B158="","",IFERROR(VLOOKUP(B158,Долги!$A$2:$B$500,2,FALSE),""))</f>
        <v/>
      </c>
    </row>
    <row r="159">
      <c r="A159" s="4" t="n"/>
      <c r="C159" s="7" t="n"/>
      <c r="D159">
        <f>IF(B159="","",IFERROR(VLOOKUP(B159,Долги!$A$2:$B$500,2,FALSE),""))</f>
        <v/>
      </c>
    </row>
    <row r="160">
      <c r="A160" s="4" t="n"/>
      <c r="C160" s="7" t="n"/>
      <c r="D160">
        <f>IF(B160="","",IFERROR(VLOOKUP(B160,Долги!$A$2:$B$500,2,FALSE),""))</f>
        <v/>
      </c>
    </row>
    <row r="161">
      <c r="A161" s="4" t="n"/>
      <c r="C161" s="7" t="n"/>
      <c r="D161">
        <f>IF(B161="","",IFERROR(VLOOKUP(B161,Долги!$A$2:$B$500,2,FALSE),""))</f>
        <v/>
      </c>
    </row>
    <row r="162">
      <c r="A162" s="4" t="n"/>
      <c r="C162" s="7" t="n"/>
      <c r="D162">
        <f>IF(B162="","",IFERROR(VLOOKUP(B162,Долги!$A$2:$B$500,2,FALSE),""))</f>
        <v/>
      </c>
    </row>
    <row r="163">
      <c r="A163" s="4" t="n"/>
      <c r="C163" s="7" t="n"/>
      <c r="D163">
        <f>IF(B163="","",IFERROR(VLOOKUP(B163,Долги!$A$2:$B$500,2,FALSE),""))</f>
        <v/>
      </c>
    </row>
    <row r="164">
      <c r="A164" s="4" t="n"/>
      <c r="C164" s="7" t="n"/>
      <c r="D164">
        <f>IF(B164="","",IFERROR(VLOOKUP(B164,Долги!$A$2:$B$500,2,FALSE),""))</f>
        <v/>
      </c>
    </row>
    <row r="165">
      <c r="A165" s="4" t="n"/>
      <c r="C165" s="7" t="n"/>
      <c r="D165">
        <f>IF(B165="","",IFERROR(VLOOKUP(B165,Долги!$A$2:$B$500,2,FALSE),""))</f>
        <v/>
      </c>
    </row>
    <row r="166">
      <c r="A166" s="4" t="n"/>
      <c r="C166" s="7" t="n"/>
      <c r="D166">
        <f>IF(B166="","",IFERROR(VLOOKUP(B166,Долги!$A$2:$B$500,2,FALSE),""))</f>
        <v/>
      </c>
    </row>
    <row r="167">
      <c r="A167" s="4" t="n"/>
      <c r="C167" s="7" t="n"/>
      <c r="D167">
        <f>IF(B167="","",IFERROR(VLOOKUP(B167,Долги!$A$2:$B$500,2,FALSE),""))</f>
        <v/>
      </c>
    </row>
    <row r="168">
      <c r="A168" s="4" t="n"/>
      <c r="C168" s="7" t="n"/>
      <c r="D168">
        <f>IF(B168="","",IFERROR(VLOOKUP(B168,Долги!$A$2:$B$500,2,FALSE),""))</f>
        <v/>
      </c>
    </row>
    <row r="169">
      <c r="A169" s="4" t="n"/>
      <c r="C169" s="7" t="n"/>
      <c r="D169">
        <f>IF(B169="","",IFERROR(VLOOKUP(B169,Долги!$A$2:$B$500,2,FALSE),""))</f>
        <v/>
      </c>
    </row>
    <row r="170">
      <c r="A170" s="4" t="n"/>
      <c r="C170" s="7" t="n"/>
      <c r="D170">
        <f>IF(B170="","",IFERROR(VLOOKUP(B170,Долги!$A$2:$B$500,2,FALSE),""))</f>
        <v/>
      </c>
    </row>
    <row r="171">
      <c r="A171" s="4" t="n"/>
      <c r="C171" s="7" t="n"/>
      <c r="D171">
        <f>IF(B171="","",IFERROR(VLOOKUP(B171,Долги!$A$2:$B$500,2,FALSE),""))</f>
        <v/>
      </c>
    </row>
    <row r="172">
      <c r="A172" s="4" t="n"/>
      <c r="C172" s="7" t="n"/>
      <c r="D172">
        <f>IF(B172="","",IFERROR(VLOOKUP(B172,Долги!$A$2:$B$500,2,FALSE),""))</f>
        <v/>
      </c>
    </row>
    <row r="173">
      <c r="A173" s="4" t="n"/>
      <c r="C173" s="7" t="n"/>
      <c r="D173">
        <f>IF(B173="","",IFERROR(VLOOKUP(B173,Долги!$A$2:$B$500,2,FALSE),""))</f>
        <v/>
      </c>
    </row>
    <row r="174">
      <c r="A174" s="4" t="n"/>
      <c r="C174" s="7" t="n"/>
      <c r="D174">
        <f>IF(B174="","",IFERROR(VLOOKUP(B174,Долги!$A$2:$B$500,2,FALSE),""))</f>
        <v/>
      </c>
    </row>
    <row r="175">
      <c r="A175" s="4" t="n"/>
      <c r="C175" s="7" t="n"/>
      <c r="D175">
        <f>IF(B175="","",IFERROR(VLOOKUP(B175,Долги!$A$2:$B$500,2,FALSE),""))</f>
        <v/>
      </c>
    </row>
    <row r="176">
      <c r="A176" s="4" t="n"/>
      <c r="C176" s="7" t="n"/>
      <c r="D176">
        <f>IF(B176="","",IFERROR(VLOOKUP(B176,Долги!$A$2:$B$500,2,FALSE),""))</f>
        <v/>
      </c>
    </row>
    <row r="177">
      <c r="A177" s="4" t="n"/>
      <c r="C177" s="7" t="n"/>
      <c r="D177">
        <f>IF(B177="","",IFERROR(VLOOKUP(B177,Долги!$A$2:$B$500,2,FALSE),""))</f>
        <v/>
      </c>
    </row>
    <row r="178">
      <c r="A178" s="4" t="n"/>
      <c r="C178" s="7" t="n"/>
      <c r="D178">
        <f>IF(B178="","",IFERROR(VLOOKUP(B178,Долги!$A$2:$B$500,2,FALSE),""))</f>
        <v/>
      </c>
    </row>
    <row r="179">
      <c r="A179" s="4" t="n"/>
      <c r="C179" s="7" t="n"/>
      <c r="D179">
        <f>IF(B179="","",IFERROR(VLOOKUP(B179,Долги!$A$2:$B$500,2,FALSE),""))</f>
        <v/>
      </c>
    </row>
    <row r="180">
      <c r="A180" s="4" t="n"/>
      <c r="C180" s="7" t="n"/>
      <c r="D180">
        <f>IF(B180="","",IFERROR(VLOOKUP(B180,Долги!$A$2:$B$500,2,FALSE),""))</f>
        <v/>
      </c>
    </row>
    <row r="181">
      <c r="A181" s="4" t="n"/>
      <c r="C181" s="7" t="n"/>
      <c r="D181">
        <f>IF(B181="","",IFERROR(VLOOKUP(B181,Долги!$A$2:$B$500,2,FALSE),""))</f>
        <v/>
      </c>
    </row>
    <row r="182">
      <c r="A182" s="4" t="n"/>
      <c r="C182" s="7" t="n"/>
      <c r="D182">
        <f>IF(B182="","",IFERROR(VLOOKUP(B182,Долги!$A$2:$B$500,2,FALSE),""))</f>
        <v/>
      </c>
    </row>
    <row r="183">
      <c r="A183" s="4" t="n"/>
      <c r="C183" s="7" t="n"/>
      <c r="D183">
        <f>IF(B183="","",IFERROR(VLOOKUP(B183,Долги!$A$2:$B$500,2,FALSE),""))</f>
        <v/>
      </c>
    </row>
    <row r="184">
      <c r="A184" s="4" t="n"/>
      <c r="C184" s="7" t="n"/>
      <c r="D184">
        <f>IF(B184="","",IFERROR(VLOOKUP(B184,Долги!$A$2:$B$500,2,FALSE),""))</f>
        <v/>
      </c>
    </row>
    <row r="185">
      <c r="A185" s="4" t="n"/>
      <c r="C185" s="7" t="n"/>
      <c r="D185">
        <f>IF(B185="","",IFERROR(VLOOKUP(B185,Долги!$A$2:$B$500,2,FALSE),""))</f>
        <v/>
      </c>
    </row>
    <row r="186">
      <c r="A186" s="4" t="n"/>
      <c r="C186" s="7" t="n"/>
      <c r="D186">
        <f>IF(B186="","",IFERROR(VLOOKUP(B186,Долги!$A$2:$B$500,2,FALSE),""))</f>
        <v/>
      </c>
    </row>
    <row r="187">
      <c r="A187" s="4" t="n"/>
      <c r="C187" s="7" t="n"/>
      <c r="D187">
        <f>IF(B187="","",IFERROR(VLOOKUP(B187,Долги!$A$2:$B$500,2,FALSE),""))</f>
        <v/>
      </c>
    </row>
    <row r="188">
      <c r="A188" s="4" t="n"/>
      <c r="C188" s="7" t="n"/>
      <c r="D188">
        <f>IF(B188="","",IFERROR(VLOOKUP(B188,Долги!$A$2:$B$500,2,FALSE),""))</f>
        <v/>
      </c>
    </row>
    <row r="189">
      <c r="A189" s="4" t="n"/>
      <c r="C189" s="7" t="n"/>
      <c r="D189">
        <f>IF(B189="","",IFERROR(VLOOKUP(B189,Долги!$A$2:$B$500,2,FALSE),""))</f>
        <v/>
      </c>
    </row>
    <row r="190">
      <c r="A190" s="4" t="n"/>
      <c r="C190" s="7" t="n"/>
      <c r="D190">
        <f>IF(B190="","",IFERROR(VLOOKUP(B190,Долги!$A$2:$B$500,2,FALSE),""))</f>
        <v/>
      </c>
    </row>
    <row r="191">
      <c r="A191" s="4" t="n"/>
      <c r="C191" s="7" t="n"/>
      <c r="D191">
        <f>IF(B191="","",IFERROR(VLOOKUP(B191,Долги!$A$2:$B$500,2,FALSE),""))</f>
        <v/>
      </c>
    </row>
    <row r="192">
      <c r="A192" s="4" t="n"/>
      <c r="C192" s="7" t="n"/>
      <c r="D192">
        <f>IF(B192="","",IFERROR(VLOOKUP(B192,Долги!$A$2:$B$500,2,FALSE),""))</f>
        <v/>
      </c>
    </row>
    <row r="193">
      <c r="A193" s="4" t="n"/>
      <c r="C193" s="7" t="n"/>
      <c r="D193">
        <f>IF(B193="","",IFERROR(VLOOKUP(B193,Долги!$A$2:$B$500,2,FALSE),""))</f>
        <v/>
      </c>
    </row>
    <row r="194">
      <c r="A194" s="4" t="n"/>
      <c r="C194" s="7" t="n"/>
      <c r="D194">
        <f>IF(B194="","",IFERROR(VLOOKUP(B194,Долги!$A$2:$B$500,2,FALSE),""))</f>
        <v/>
      </c>
    </row>
    <row r="195">
      <c r="A195" s="4" t="n"/>
      <c r="C195" s="7" t="n"/>
      <c r="D195">
        <f>IF(B195="","",IFERROR(VLOOKUP(B195,Долги!$A$2:$B$500,2,FALSE),""))</f>
        <v/>
      </c>
    </row>
    <row r="196">
      <c r="A196" s="4" t="n"/>
      <c r="C196" s="7" t="n"/>
      <c r="D196">
        <f>IF(B196="","",IFERROR(VLOOKUP(B196,Долги!$A$2:$B$500,2,FALSE),""))</f>
        <v/>
      </c>
    </row>
    <row r="197">
      <c r="A197" s="4" t="n"/>
      <c r="C197" s="7" t="n"/>
      <c r="D197">
        <f>IF(B197="","",IFERROR(VLOOKUP(B197,Долги!$A$2:$B$500,2,FALSE),""))</f>
        <v/>
      </c>
    </row>
    <row r="198">
      <c r="A198" s="4" t="n"/>
      <c r="C198" s="7" t="n"/>
      <c r="D198">
        <f>IF(B198="","",IFERROR(VLOOKUP(B198,Долги!$A$2:$B$500,2,FALSE),""))</f>
        <v/>
      </c>
    </row>
    <row r="199">
      <c r="A199" s="4" t="n"/>
      <c r="C199" s="7" t="n"/>
      <c r="D199">
        <f>IF(B199="","",IFERROR(VLOOKUP(B199,Долги!$A$2:$B$500,2,FALSE),""))</f>
        <v/>
      </c>
    </row>
    <row r="200">
      <c r="A200" s="4" t="n"/>
      <c r="C200" s="7" t="n"/>
      <c r="D200">
        <f>IF(B200="","",IFERROR(VLOOKUP(B200,Долги!$A$2:$B$500,2,FALSE),""))</f>
        <v/>
      </c>
    </row>
    <row r="201">
      <c r="A201" s="4" t="n"/>
      <c r="C201" s="7" t="n"/>
      <c r="D201">
        <f>IF(B201="","",IFERROR(VLOOKUP(B201,Долги!$A$2:$B$500,2,FALSE),""))</f>
        <v/>
      </c>
    </row>
    <row r="202">
      <c r="A202" s="4" t="n"/>
      <c r="C202" s="7" t="n"/>
      <c r="D202">
        <f>IF(B202="","",IFERROR(VLOOKUP(B202,Долги!$A$2:$B$500,2,FALSE),""))</f>
        <v/>
      </c>
    </row>
    <row r="203">
      <c r="A203" s="4" t="n"/>
      <c r="C203" s="7" t="n"/>
      <c r="D203">
        <f>IF(B203="","",IFERROR(VLOOKUP(B203,Долги!$A$2:$B$500,2,FALSE),""))</f>
        <v/>
      </c>
    </row>
    <row r="204">
      <c r="A204" s="4" t="n"/>
      <c r="C204" s="7" t="n"/>
      <c r="D204">
        <f>IF(B204="","",IFERROR(VLOOKUP(B204,Долги!$A$2:$B$500,2,FALSE),""))</f>
        <v/>
      </c>
    </row>
    <row r="205">
      <c r="A205" s="4" t="n"/>
      <c r="C205" s="7" t="n"/>
      <c r="D205">
        <f>IF(B205="","",IFERROR(VLOOKUP(B205,Долги!$A$2:$B$500,2,FALSE),""))</f>
        <v/>
      </c>
    </row>
    <row r="206">
      <c r="A206" s="4" t="n"/>
      <c r="C206" s="7" t="n"/>
      <c r="D206">
        <f>IF(B206="","",IFERROR(VLOOKUP(B206,Долги!$A$2:$B$500,2,FALSE),""))</f>
        <v/>
      </c>
    </row>
    <row r="207">
      <c r="A207" s="4" t="n"/>
      <c r="C207" s="7" t="n"/>
      <c r="D207">
        <f>IF(B207="","",IFERROR(VLOOKUP(B207,Долги!$A$2:$B$500,2,FALSE),""))</f>
        <v/>
      </c>
    </row>
    <row r="208">
      <c r="A208" s="4" t="n"/>
      <c r="C208" s="7" t="n"/>
      <c r="D208">
        <f>IF(B208="","",IFERROR(VLOOKUP(B208,Долги!$A$2:$B$500,2,FALSE),""))</f>
        <v/>
      </c>
    </row>
    <row r="209">
      <c r="A209" s="4" t="n"/>
      <c r="C209" s="7" t="n"/>
      <c r="D209">
        <f>IF(B209="","",IFERROR(VLOOKUP(B209,Долги!$A$2:$B$500,2,FALSE),""))</f>
        <v/>
      </c>
    </row>
    <row r="210">
      <c r="A210" s="4" t="n"/>
      <c r="C210" s="7" t="n"/>
      <c r="D210">
        <f>IF(B210="","",IFERROR(VLOOKUP(B210,Долги!$A$2:$B$500,2,FALSE),""))</f>
        <v/>
      </c>
    </row>
    <row r="211">
      <c r="A211" s="4" t="n"/>
      <c r="C211" s="7" t="n"/>
      <c r="D211">
        <f>IF(B211="","",IFERROR(VLOOKUP(B211,Долги!$A$2:$B$500,2,FALSE),""))</f>
        <v/>
      </c>
    </row>
    <row r="212">
      <c r="A212" s="4" t="n"/>
      <c r="C212" s="7" t="n"/>
      <c r="D212">
        <f>IF(B212="","",IFERROR(VLOOKUP(B212,Долги!$A$2:$B$500,2,FALSE),""))</f>
        <v/>
      </c>
    </row>
    <row r="213">
      <c r="A213" s="4" t="n"/>
      <c r="C213" s="7" t="n"/>
      <c r="D213">
        <f>IF(B213="","",IFERROR(VLOOKUP(B213,Долги!$A$2:$B$500,2,FALSE),""))</f>
        <v/>
      </c>
    </row>
    <row r="214">
      <c r="A214" s="4" t="n"/>
      <c r="C214" s="7" t="n"/>
      <c r="D214">
        <f>IF(B214="","",IFERROR(VLOOKUP(B214,Долги!$A$2:$B$500,2,FALSE),""))</f>
        <v/>
      </c>
    </row>
    <row r="215">
      <c r="A215" s="4" t="n"/>
      <c r="C215" s="7" t="n"/>
      <c r="D215">
        <f>IF(B215="","",IFERROR(VLOOKUP(B215,Долги!$A$2:$B$500,2,FALSE),""))</f>
        <v/>
      </c>
    </row>
    <row r="216">
      <c r="A216" s="4" t="n"/>
      <c r="C216" s="7" t="n"/>
      <c r="D216">
        <f>IF(B216="","",IFERROR(VLOOKUP(B216,Долги!$A$2:$B$500,2,FALSE),""))</f>
        <v/>
      </c>
    </row>
    <row r="217">
      <c r="A217" s="4" t="n"/>
      <c r="C217" s="7" t="n"/>
      <c r="D217">
        <f>IF(B217="","",IFERROR(VLOOKUP(B217,Долги!$A$2:$B$500,2,FALSE),""))</f>
        <v/>
      </c>
    </row>
    <row r="218">
      <c r="A218" s="4" t="n"/>
      <c r="C218" s="7" t="n"/>
      <c r="D218">
        <f>IF(B218="","",IFERROR(VLOOKUP(B218,Долги!$A$2:$B$500,2,FALSE),""))</f>
        <v/>
      </c>
    </row>
    <row r="219">
      <c r="A219" s="4" t="n"/>
      <c r="C219" s="7" t="n"/>
      <c r="D219">
        <f>IF(B219="","",IFERROR(VLOOKUP(B219,Долги!$A$2:$B$500,2,FALSE),""))</f>
        <v/>
      </c>
    </row>
    <row r="220">
      <c r="A220" s="4" t="n"/>
      <c r="C220" s="7" t="n"/>
      <c r="D220">
        <f>IF(B220="","",IFERROR(VLOOKUP(B220,Долги!$A$2:$B$500,2,FALSE),""))</f>
        <v/>
      </c>
    </row>
    <row r="221">
      <c r="A221" s="4" t="n"/>
      <c r="C221" s="7" t="n"/>
      <c r="D221">
        <f>IF(B221="","",IFERROR(VLOOKUP(B221,Долги!$A$2:$B$500,2,FALSE),""))</f>
        <v/>
      </c>
    </row>
    <row r="222">
      <c r="A222" s="4" t="n"/>
      <c r="C222" s="7" t="n"/>
      <c r="D222">
        <f>IF(B222="","",IFERROR(VLOOKUP(B222,Долги!$A$2:$B$500,2,FALSE),""))</f>
        <v/>
      </c>
    </row>
    <row r="223">
      <c r="A223" s="4" t="n"/>
      <c r="C223" s="7" t="n"/>
      <c r="D223">
        <f>IF(B223="","",IFERROR(VLOOKUP(B223,Долги!$A$2:$B$500,2,FALSE),""))</f>
        <v/>
      </c>
    </row>
    <row r="224">
      <c r="A224" s="4" t="n"/>
      <c r="C224" s="7" t="n"/>
      <c r="D224">
        <f>IF(B224="","",IFERROR(VLOOKUP(B224,Долги!$A$2:$B$500,2,FALSE),""))</f>
        <v/>
      </c>
    </row>
    <row r="225">
      <c r="A225" s="4" t="n"/>
      <c r="C225" s="7" t="n"/>
      <c r="D225">
        <f>IF(B225="","",IFERROR(VLOOKUP(B225,Долги!$A$2:$B$500,2,FALSE),""))</f>
        <v/>
      </c>
    </row>
    <row r="226">
      <c r="A226" s="4" t="n"/>
      <c r="C226" s="7" t="n"/>
      <c r="D226">
        <f>IF(B226="","",IFERROR(VLOOKUP(B226,Долги!$A$2:$B$500,2,FALSE),""))</f>
        <v/>
      </c>
    </row>
    <row r="227">
      <c r="A227" s="4" t="n"/>
      <c r="C227" s="7" t="n"/>
      <c r="D227">
        <f>IF(B227="","",IFERROR(VLOOKUP(B227,Долги!$A$2:$B$500,2,FALSE),""))</f>
        <v/>
      </c>
    </row>
    <row r="228">
      <c r="A228" s="4" t="n"/>
      <c r="C228" s="7" t="n"/>
      <c r="D228">
        <f>IF(B228="","",IFERROR(VLOOKUP(B228,Долги!$A$2:$B$500,2,FALSE),""))</f>
        <v/>
      </c>
    </row>
    <row r="229">
      <c r="A229" s="4" t="n"/>
      <c r="C229" s="7" t="n"/>
      <c r="D229">
        <f>IF(B229="","",IFERROR(VLOOKUP(B229,Долги!$A$2:$B$500,2,FALSE),""))</f>
        <v/>
      </c>
    </row>
    <row r="230">
      <c r="A230" s="4" t="n"/>
      <c r="C230" s="7" t="n"/>
      <c r="D230">
        <f>IF(B230="","",IFERROR(VLOOKUP(B230,Долги!$A$2:$B$500,2,FALSE),""))</f>
        <v/>
      </c>
    </row>
    <row r="231">
      <c r="A231" s="4" t="n"/>
      <c r="C231" s="7" t="n"/>
      <c r="D231">
        <f>IF(B231="","",IFERROR(VLOOKUP(B231,Долги!$A$2:$B$500,2,FALSE),""))</f>
        <v/>
      </c>
    </row>
    <row r="232">
      <c r="A232" s="4" t="n"/>
      <c r="C232" s="7" t="n"/>
      <c r="D232">
        <f>IF(B232="","",IFERROR(VLOOKUP(B232,Долги!$A$2:$B$500,2,FALSE),""))</f>
        <v/>
      </c>
    </row>
    <row r="233">
      <c r="A233" s="4" t="n"/>
      <c r="C233" s="7" t="n"/>
      <c r="D233">
        <f>IF(B233="","",IFERROR(VLOOKUP(B233,Долги!$A$2:$B$500,2,FALSE),""))</f>
        <v/>
      </c>
    </row>
    <row r="234">
      <c r="A234" s="4" t="n"/>
      <c r="C234" s="7" t="n"/>
      <c r="D234">
        <f>IF(B234="","",IFERROR(VLOOKUP(B234,Долги!$A$2:$B$500,2,FALSE),""))</f>
        <v/>
      </c>
    </row>
    <row r="235">
      <c r="A235" s="4" t="n"/>
      <c r="C235" s="7" t="n"/>
      <c r="D235">
        <f>IF(B235="","",IFERROR(VLOOKUP(B235,Долги!$A$2:$B$500,2,FALSE),""))</f>
        <v/>
      </c>
    </row>
    <row r="236">
      <c r="A236" s="4" t="n"/>
      <c r="C236" s="7" t="n"/>
      <c r="D236">
        <f>IF(B236="","",IFERROR(VLOOKUP(B236,Долги!$A$2:$B$500,2,FALSE),""))</f>
        <v/>
      </c>
    </row>
    <row r="237">
      <c r="A237" s="4" t="n"/>
      <c r="C237" s="7" t="n"/>
      <c r="D237">
        <f>IF(B237="","",IFERROR(VLOOKUP(B237,Долги!$A$2:$B$500,2,FALSE),""))</f>
        <v/>
      </c>
    </row>
    <row r="238">
      <c r="A238" s="4" t="n"/>
      <c r="C238" s="7" t="n"/>
      <c r="D238">
        <f>IF(B238="","",IFERROR(VLOOKUP(B238,Долги!$A$2:$B$500,2,FALSE),""))</f>
        <v/>
      </c>
    </row>
    <row r="239">
      <c r="A239" s="4" t="n"/>
      <c r="C239" s="7" t="n"/>
      <c r="D239">
        <f>IF(B239="","",IFERROR(VLOOKUP(B239,Долги!$A$2:$B$500,2,FALSE),""))</f>
        <v/>
      </c>
    </row>
    <row r="240">
      <c r="A240" s="4" t="n"/>
      <c r="C240" s="7" t="n"/>
      <c r="D240">
        <f>IF(B240="","",IFERROR(VLOOKUP(B240,Долги!$A$2:$B$500,2,FALSE),""))</f>
        <v/>
      </c>
    </row>
    <row r="241">
      <c r="A241" s="4" t="n"/>
      <c r="C241" s="7" t="n"/>
      <c r="D241">
        <f>IF(B241="","",IFERROR(VLOOKUP(B241,Долги!$A$2:$B$500,2,FALSE),""))</f>
        <v/>
      </c>
    </row>
    <row r="242">
      <c r="A242" s="4" t="n"/>
      <c r="C242" s="7" t="n"/>
      <c r="D242">
        <f>IF(B242="","",IFERROR(VLOOKUP(B242,Долги!$A$2:$B$500,2,FALSE),""))</f>
        <v/>
      </c>
    </row>
    <row r="243">
      <c r="A243" s="4" t="n"/>
      <c r="C243" s="7" t="n"/>
      <c r="D243">
        <f>IF(B243="","",IFERROR(VLOOKUP(B243,Долги!$A$2:$B$500,2,FALSE),""))</f>
        <v/>
      </c>
    </row>
    <row r="244">
      <c r="A244" s="4" t="n"/>
      <c r="C244" s="7" t="n"/>
      <c r="D244">
        <f>IF(B244="","",IFERROR(VLOOKUP(B244,Долги!$A$2:$B$500,2,FALSE),""))</f>
        <v/>
      </c>
    </row>
    <row r="245">
      <c r="A245" s="4" t="n"/>
      <c r="C245" s="7" t="n"/>
      <c r="D245">
        <f>IF(B245="","",IFERROR(VLOOKUP(B245,Долги!$A$2:$B$500,2,FALSE),""))</f>
        <v/>
      </c>
    </row>
    <row r="246">
      <c r="A246" s="4" t="n"/>
      <c r="C246" s="7" t="n"/>
      <c r="D246">
        <f>IF(B246="","",IFERROR(VLOOKUP(B246,Долги!$A$2:$B$500,2,FALSE),""))</f>
        <v/>
      </c>
    </row>
    <row r="247">
      <c r="A247" s="4" t="n"/>
      <c r="C247" s="7" t="n"/>
      <c r="D247">
        <f>IF(B247="","",IFERROR(VLOOKUP(B247,Долги!$A$2:$B$500,2,FALSE),""))</f>
        <v/>
      </c>
    </row>
    <row r="248">
      <c r="A248" s="4" t="n"/>
      <c r="C248" s="7" t="n"/>
      <c r="D248">
        <f>IF(B248="","",IFERROR(VLOOKUP(B248,Долги!$A$2:$B$500,2,FALSE),""))</f>
        <v/>
      </c>
    </row>
    <row r="249">
      <c r="A249" s="4" t="n"/>
      <c r="C249" s="7" t="n"/>
      <c r="D249">
        <f>IF(B249="","",IFERROR(VLOOKUP(B249,Долги!$A$2:$B$500,2,FALSE),""))</f>
        <v/>
      </c>
    </row>
    <row r="250">
      <c r="A250" s="4" t="n"/>
      <c r="C250" s="7" t="n"/>
      <c r="D250">
        <f>IF(B250="","",IFERROR(VLOOKUP(B250,Долги!$A$2:$B$500,2,FALSE),""))</f>
        <v/>
      </c>
    </row>
    <row r="251">
      <c r="A251" s="4" t="n"/>
      <c r="C251" s="7" t="n"/>
      <c r="D251">
        <f>IF(B251="","",IFERROR(VLOOKUP(B251,Долги!$A$2:$B$500,2,FALSE),""))</f>
        <v/>
      </c>
    </row>
    <row r="252">
      <c r="A252" s="4" t="n"/>
      <c r="C252" s="7" t="n"/>
      <c r="D252">
        <f>IF(B252="","",IFERROR(VLOOKUP(B252,Долги!$A$2:$B$500,2,FALSE),""))</f>
        <v/>
      </c>
    </row>
    <row r="253">
      <c r="A253" s="4" t="n"/>
      <c r="C253" s="7" t="n"/>
      <c r="D253">
        <f>IF(B253="","",IFERROR(VLOOKUP(B253,Долги!$A$2:$B$500,2,FALSE),""))</f>
        <v/>
      </c>
    </row>
    <row r="254">
      <c r="A254" s="4" t="n"/>
      <c r="C254" s="7" t="n"/>
      <c r="D254">
        <f>IF(B254="","",IFERROR(VLOOKUP(B254,Долги!$A$2:$B$500,2,FALSE),""))</f>
        <v/>
      </c>
    </row>
    <row r="255">
      <c r="A255" s="4" t="n"/>
      <c r="C255" s="7" t="n"/>
      <c r="D255">
        <f>IF(B255="","",IFERROR(VLOOKUP(B255,Долги!$A$2:$B$500,2,FALSE),""))</f>
        <v/>
      </c>
    </row>
    <row r="256">
      <c r="A256" s="4" t="n"/>
      <c r="C256" s="7" t="n"/>
      <c r="D256">
        <f>IF(B256="","",IFERROR(VLOOKUP(B256,Долги!$A$2:$B$500,2,FALSE),""))</f>
        <v/>
      </c>
    </row>
    <row r="257">
      <c r="A257" s="4" t="n"/>
      <c r="C257" s="7" t="n"/>
      <c r="D257">
        <f>IF(B257="","",IFERROR(VLOOKUP(B257,Долги!$A$2:$B$500,2,FALSE),""))</f>
        <v/>
      </c>
    </row>
    <row r="258">
      <c r="A258" s="4" t="n"/>
      <c r="C258" s="7" t="n"/>
      <c r="D258">
        <f>IF(B258="","",IFERROR(VLOOKUP(B258,Долги!$A$2:$B$500,2,FALSE),""))</f>
        <v/>
      </c>
    </row>
    <row r="259">
      <c r="A259" s="4" t="n"/>
      <c r="C259" s="7" t="n"/>
      <c r="D259">
        <f>IF(B259="","",IFERROR(VLOOKUP(B259,Долги!$A$2:$B$500,2,FALSE),""))</f>
        <v/>
      </c>
    </row>
    <row r="260">
      <c r="A260" s="4" t="n"/>
      <c r="C260" s="7" t="n"/>
      <c r="D260">
        <f>IF(B260="","",IFERROR(VLOOKUP(B260,Долги!$A$2:$B$500,2,FALSE),""))</f>
        <v/>
      </c>
    </row>
    <row r="261">
      <c r="A261" s="4" t="n"/>
      <c r="C261" s="7" t="n"/>
      <c r="D261">
        <f>IF(B261="","",IFERROR(VLOOKUP(B261,Долги!$A$2:$B$500,2,FALSE),""))</f>
        <v/>
      </c>
    </row>
    <row r="262">
      <c r="A262" s="4" t="n"/>
      <c r="C262" s="7" t="n"/>
      <c r="D262">
        <f>IF(B262="","",IFERROR(VLOOKUP(B262,Долги!$A$2:$B$500,2,FALSE),""))</f>
        <v/>
      </c>
    </row>
    <row r="263">
      <c r="A263" s="4" t="n"/>
      <c r="C263" s="7" t="n"/>
      <c r="D263">
        <f>IF(B263="","",IFERROR(VLOOKUP(B263,Долги!$A$2:$B$500,2,FALSE),""))</f>
        <v/>
      </c>
    </row>
    <row r="264">
      <c r="A264" s="4" t="n"/>
      <c r="C264" s="7" t="n"/>
      <c r="D264">
        <f>IF(B264="","",IFERROR(VLOOKUP(B264,Долги!$A$2:$B$500,2,FALSE),""))</f>
        <v/>
      </c>
    </row>
    <row r="265">
      <c r="A265" s="4" t="n"/>
      <c r="C265" s="7" t="n"/>
      <c r="D265">
        <f>IF(B265="","",IFERROR(VLOOKUP(B265,Долги!$A$2:$B$500,2,FALSE),""))</f>
        <v/>
      </c>
    </row>
    <row r="266">
      <c r="A266" s="4" t="n"/>
      <c r="C266" s="7" t="n"/>
      <c r="D266">
        <f>IF(B266="","",IFERROR(VLOOKUP(B266,Долги!$A$2:$B$500,2,FALSE),""))</f>
        <v/>
      </c>
    </row>
    <row r="267">
      <c r="A267" s="4" t="n"/>
      <c r="C267" s="7" t="n"/>
      <c r="D267">
        <f>IF(B267="","",IFERROR(VLOOKUP(B267,Долги!$A$2:$B$500,2,FALSE),""))</f>
        <v/>
      </c>
    </row>
    <row r="268">
      <c r="A268" s="4" t="n"/>
      <c r="C268" s="7" t="n"/>
      <c r="D268">
        <f>IF(B268="","",IFERROR(VLOOKUP(B268,Долги!$A$2:$B$500,2,FALSE),""))</f>
        <v/>
      </c>
    </row>
    <row r="269">
      <c r="A269" s="4" t="n"/>
      <c r="C269" s="7" t="n"/>
      <c r="D269">
        <f>IF(B269="","",IFERROR(VLOOKUP(B269,Долги!$A$2:$B$500,2,FALSE),""))</f>
        <v/>
      </c>
    </row>
    <row r="270">
      <c r="A270" s="4" t="n"/>
      <c r="C270" s="7" t="n"/>
      <c r="D270">
        <f>IF(B270="","",IFERROR(VLOOKUP(B270,Долги!$A$2:$B$500,2,FALSE),""))</f>
        <v/>
      </c>
    </row>
    <row r="271">
      <c r="A271" s="4" t="n"/>
      <c r="C271" s="7" t="n"/>
      <c r="D271">
        <f>IF(B271="","",IFERROR(VLOOKUP(B271,Долги!$A$2:$B$500,2,FALSE),""))</f>
        <v/>
      </c>
    </row>
    <row r="272">
      <c r="A272" s="4" t="n"/>
      <c r="C272" s="7" t="n"/>
      <c r="D272">
        <f>IF(B272="","",IFERROR(VLOOKUP(B272,Долги!$A$2:$B$500,2,FALSE),""))</f>
        <v/>
      </c>
    </row>
    <row r="273">
      <c r="A273" s="4" t="n"/>
      <c r="C273" s="7" t="n"/>
      <c r="D273">
        <f>IF(B273="","",IFERROR(VLOOKUP(B273,Долги!$A$2:$B$500,2,FALSE),""))</f>
        <v/>
      </c>
    </row>
    <row r="274">
      <c r="A274" s="4" t="n"/>
      <c r="C274" s="7" t="n"/>
      <c r="D274">
        <f>IF(B274="","",IFERROR(VLOOKUP(B274,Долги!$A$2:$B$500,2,FALSE),""))</f>
        <v/>
      </c>
    </row>
    <row r="275">
      <c r="A275" s="4" t="n"/>
      <c r="C275" s="7" t="n"/>
      <c r="D275">
        <f>IF(B275="","",IFERROR(VLOOKUP(B275,Долги!$A$2:$B$500,2,FALSE),""))</f>
        <v/>
      </c>
    </row>
    <row r="276">
      <c r="A276" s="4" t="n"/>
      <c r="C276" s="7" t="n"/>
      <c r="D276">
        <f>IF(B276="","",IFERROR(VLOOKUP(B276,Долги!$A$2:$B$500,2,FALSE),""))</f>
        <v/>
      </c>
    </row>
    <row r="277">
      <c r="A277" s="4" t="n"/>
      <c r="C277" s="7" t="n"/>
      <c r="D277">
        <f>IF(B277="","",IFERROR(VLOOKUP(B277,Долги!$A$2:$B$500,2,FALSE),""))</f>
        <v/>
      </c>
    </row>
    <row r="278">
      <c r="A278" s="4" t="n"/>
      <c r="C278" s="7" t="n"/>
      <c r="D278">
        <f>IF(B278="","",IFERROR(VLOOKUP(B278,Долги!$A$2:$B$500,2,FALSE),""))</f>
        <v/>
      </c>
    </row>
    <row r="279">
      <c r="A279" s="4" t="n"/>
      <c r="C279" s="7" t="n"/>
      <c r="D279">
        <f>IF(B279="","",IFERROR(VLOOKUP(B279,Долги!$A$2:$B$500,2,FALSE),""))</f>
        <v/>
      </c>
    </row>
    <row r="280">
      <c r="A280" s="4" t="n"/>
      <c r="C280" s="7" t="n"/>
      <c r="D280">
        <f>IF(B280="","",IFERROR(VLOOKUP(B280,Долги!$A$2:$B$500,2,FALSE),""))</f>
        <v/>
      </c>
    </row>
    <row r="281">
      <c r="A281" s="4" t="n"/>
      <c r="C281" s="7" t="n"/>
      <c r="D281">
        <f>IF(B281="","",IFERROR(VLOOKUP(B281,Долги!$A$2:$B$500,2,FALSE),""))</f>
        <v/>
      </c>
    </row>
    <row r="282">
      <c r="A282" s="4" t="n"/>
      <c r="C282" s="7" t="n"/>
      <c r="D282">
        <f>IF(B282="","",IFERROR(VLOOKUP(B282,Долги!$A$2:$B$500,2,FALSE),""))</f>
        <v/>
      </c>
    </row>
    <row r="283">
      <c r="A283" s="4" t="n"/>
      <c r="C283" s="7" t="n"/>
      <c r="D283">
        <f>IF(B283="","",IFERROR(VLOOKUP(B283,Долги!$A$2:$B$500,2,FALSE),""))</f>
        <v/>
      </c>
    </row>
    <row r="284">
      <c r="A284" s="4" t="n"/>
      <c r="C284" s="7" t="n"/>
      <c r="D284">
        <f>IF(B284="","",IFERROR(VLOOKUP(B284,Долги!$A$2:$B$500,2,FALSE),""))</f>
        <v/>
      </c>
    </row>
    <row r="285">
      <c r="A285" s="4" t="n"/>
      <c r="C285" s="7" t="n"/>
      <c r="D285">
        <f>IF(B285="","",IFERROR(VLOOKUP(B285,Долги!$A$2:$B$500,2,FALSE),""))</f>
        <v/>
      </c>
    </row>
    <row r="286">
      <c r="A286" s="4" t="n"/>
      <c r="C286" s="7" t="n"/>
      <c r="D286">
        <f>IF(B286="","",IFERROR(VLOOKUP(B286,Долги!$A$2:$B$500,2,FALSE),""))</f>
        <v/>
      </c>
    </row>
    <row r="287">
      <c r="A287" s="4" t="n"/>
      <c r="C287" s="7" t="n"/>
      <c r="D287">
        <f>IF(B287="","",IFERROR(VLOOKUP(B287,Долги!$A$2:$B$500,2,FALSE),""))</f>
        <v/>
      </c>
    </row>
    <row r="288">
      <c r="A288" s="4" t="n"/>
      <c r="C288" s="7" t="n"/>
      <c r="D288">
        <f>IF(B288="","",IFERROR(VLOOKUP(B288,Долги!$A$2:$B$500,2,FALSE),""))</f>
        <v/>
      </c>
    </row>
    <row r="289">
      <c r="A289" s="4" t="n"/>
      <c r="C289" s="7" t="n"/>
      <c r="D289">
        <f>IF(B289="","",IFERROR(VLOOKUP(B289,Долги!$A$2:$B$500,2,FALSE),""))</f>
        <v/>
      </c>
    </row>
    <row r="290">
      <c r="A290" s="4" t="n"/>
      <c r="C290" s="7" t="n"/>
      <c r="D290">
        <f>IF(B290="","",IFERROR(VLOOKUP(B290,Долги!$A$2:$B$500,2,FALSE),""))</f>
        <v/>
      </c>
    </row>
    <row r="291">
      <c r="A291" s="4" t="n"/>
      <c r="C291" s="7" t="n"/>
      <c r="D291">
        <f>IF(B291="","",IFERROR(VLOOKUP(B291,Долги!$A$2:$B$500,2,FALSE),""))</f>
        <v/>
      </c>
    </row>
    <row r="292">
      <c r="A292" s="4" t="n"/>
      <c r="C292" s="7" t="n"/>
      <c r="D292">
        <f>IF(B292="","",IFERROR(VLOOKUP(B292,Долги!$A$2:$B$500,2,FALSE),""))</f>
        <v/>
      </c>
    </row>
    <row r="293">
      <c r="A293" s="4" t="n"/>
      <c r="C293" s="7" t="n"/>
      <c r="D293">
        <f>IF(B293="","",IFERROR(VLOOKUP(B293,Долги!$A$2:$B$500,2,FALSE),""))</f>
        <v/>
      </c>
    </row>
    <row r="294">
      <c r="A294" s="4" t="n"/>
      <c r="C294" s="7" t="n"/>
      <c r="D294">
        <f>IF(B294="","",IFERROR(VLOOKUP(B294,Долги!$A$2:$B$500,2,FALSE),""))</f>
        <v/>
      </c>
    </row>
    <row r="295">
      <c r="A295" s="4" t="n"/>
      <c r="C295" s="7" t="n"/>
      <c r="D295">
        <f>IF(B295="","",IFERROR(VLOOKUP(B295,Долги!$A$2:$B$500,2,FALSE),""))</f>
        <v/>
      </c>
    </row>
    <row r="296">
      <c r="A296" s="4" t="n"/>
      <c r="C296" s="7" t="n"/>
      <c r="D296">
        <f>IF(B296="","",IFERROR(VLOOKUP(B296,Долги!$A$2:$B$500,2,FALSE),""))</f>
        <v/>
      </c>
    </row>
    <row r="297">
      <c r="A297" s="4" t="n"/>
      <c r="C297" s="7" t="n"/>
      <c r="D297">
        <f>IF(B297="","",IFERROR(VLOOKUP(B297,Долги!$A$2:$B$500,2,FALSE),""))</f>
        <v/>
      </c>
    </row>
    <row r="298">
      <c r="A298" s="4" t="n"/>
      <c r="C298" s="7" t="n"/>
      <c r="D298">
        <f>IF(B298="","",IFERROR(VLOOKUP(B298,Долги!$A$2:$B$500,2,FALSE),""))</f>
        <v/>
      </c>
    </row>
    <row r="299">
      <c r="A299" s="4" t="n"/>
      <c r="C299" s="7" t="n"/>
      <c r="D299">
        <f>IF(B299="","",IFERROR(VLOOKUP(B299,Долги!$A$2:$B$500,2,FALSE),""))</f>
        <v/>
      </c>
    </row>
    <row r="300">
      <c r="A300" s="4" t="n"/>
      <c r="C300" s="7" t="n"/>
      <c r="D300">
        <f>IF(B300="","",IFERROR(VLOOKUP(B300,Долги!$A$2:$B$500,2,FALSE),""))</f>
        <v/>
      </c>
    </row>
    <row r="301">
      <c r="A301" s="4" t="n"/>
      <c r="C301" s="7" t="n"/>
      <c r="D301">
        <f>IF(B301="","",IFERROR(VLOOKUP(B301,Долги!$A$2:$B$500,2,FALSE),""))</f>
        <v/>
      </c>
    </row>
    <row r="302">
      <c r="A302" s="4" t="n"/>
      <c r="C302" s="7" t="n"/>
      <c r="D302">
        <f>IF(B302="","",IFERROR(VLOOKUP(B302,Долги!$A$2:$B$500,2,FALSE),""))</f>
        <v/>
      </c>
    </row>
    <row r="303">
      <c r="A303" s="4" t="n"/>
      <c r="C303" s="7" t="n"/>
      <c r="D303">
        <f>IF(B303="","",IFERROR(VLOOKUP(B303,Долги!$A$2:$B$500,2,FALSE),""))</f>
        <v/>
      </c>
    </row>
    <row r="304">
      <c r="A304" s="4" t="n"/>
      <c r="C304" s="7" t="n"/>
      <c r="D304">
        <f>IF(B304="","",IFERROR(VLOOKUP(B304,Долги!$A$2:$B$500,2,FALSE),""))</f>
        <v/>
      </c>
    </row>
    <row r="305">
      <c r="A305" s="4" t="n"/>
      <c r="C305" s="7" t="n"/>
      <c r="D305">
        <f>IF(B305="","",IFERROR(VLOOKUP(B305,Долги!$A$2:$B$500,2,FALSE),""))</f>
        <v/>
      </c>
    </row>
    <row r="306">
      <c r="A306" s="4" t="n"/>
      <c r="C306" s="7" t="n"/>
      <c r="D306">
        <f>IF(B306="","",IFERROR(VLOOKUP(B306,Долги!$A$2:$B$500,2,FALSE),""))</f>
        <v/>
      </c>
    </row>
    <row r="307">
      <c r="A307" s="4" t="n"/>
      <c r="C307" s="7" t="n"/>
      <c r="D307">
        <f>IF(B307="","",IFERROR(VLOOKUP(B307,Долги!$A$2:$B$500,2,FALSE),""))</f>
        <v/>
      </c>
    </row>
    <row r="308">
      <c r="A308" s="4" t="n"/>
      <c r="C308" s="7" t="n"/>
      <c r="D308">
        <f>IF(B308="","",IFERROR(VLOOKUP(B308,Долги!$A$2:$B$500,2,FALSE),""))</f>
        <v/>
      </c>
    </row>
    <row r="309">
      <c r="A309" s="4" t="n"/>
      <c r="C309" s="7" t="n"/>
      <c r="D309">
        <f>IF(B309="","",IFERROR(VLOOKUP(B309,Долги!$A$2:$B$500,2,FALSE),""))</f>
        <v/>
      </c>
    </row>
    <row r="310">
      <c r="A310" s="4" t="n"/>
      <c r="C310" s="7" t="n"/>
      <c r="D310">
        <f>IF(B310="","",IFERROR(VLOOKUP(B310,Долги!$A$2:$B$500,2,FALSE),""))</f>
        <v/>
      </c>
    </row>
    <row r="311">
      <c r="A311" s="4" t="n"/>
      <c r="C311" s="7" t="n"/>
      <c r="D311">
        <f>IF(B311="","",IFERROR(VLOOKUP(B311,Долги!$A$2:$B$500,2,FALSE),""))</f>
        <v/>
      </c>
    </row>
    <row r="312">
      <c r="A312" s="4" t="n"/>
      <c r="C312" s="7" t="n"/>
      <c r="D312">
        <f>IF(B312="","",IFERROR(VLOOKUP(B312,Долги!$A$2:$B$500,2,FALSE),""))</f>
        <v/>
      </c>
    </row>
    <row r="313">
      <c r="A313" s="4" t="n"/>
      <c r="C313" s="7" t="n"/>
      <c r="D313">
        <f>IF(B313="","",IFERROR(VLOOKUP(B313,Долги!$A$2:$B$500,2,FALSE),""))</f>
        <v/>
      </c>
    </row>
    <row r="314">
      <c r="A314" s="4" t="n"/>
      <c r="C314" s="7" t="n"/>
      <c r="D314">
        <f>IF(B314="","",IFERROR(VLOOKUP(B314,Долги!$A$2:$B$500,2,FALSE),""))</f>
        <v/>
      </c>
    </row>
    <row r="315">
      <c r="A315" s="4" t="n"/>
      <c r="C315" s="7" t="n"/>
      <c r="D315">
        <f>IF(B315="","",IFERROR(VLOOKUP(B315,Долги!$A$2:$B$500,2,FALSE),""))</f>
        <v/>
      </c>
    </row>
    <row r="316">
      <c r="A316" s="4" t="n"/>
      <c r="C316" s="7" t="n"/>
      <c r="D316">
        <f>IF(B316="","",IFERROR(VLOOKUP(B316,Долги!$A$2:$B$500,2,FALSE),""))</f>
        <v/>
      </c>
    </row>
    <row r="317">
      <c r="A317" s="4" t="n"/>
      <c r="C317" s="7" t="n"/>
      <c r="D317">
        <f>IF(B317="","",IFERROR(VLOOKUP(B317,Долги!$A$2:$B$500,2,FALSE),""))</f>
        <v/>
      </c>
    </row>
    <row r="318">
      <c r="A318" s="4" t="n"/>
      <c r="C318" s="7" t="n"/>
      <c r="D318">
        <f>IF(B318="","",IFERROR(VLOOKUP(B318,Долги!$A$2:$B$500,2,FALSE),""))</f>
        <v/>
      </c>
    </row>
    <row r="319">
      <c r="A319" s="4" t="n"/>
      <c r="C319" s="7" t="n"/>
      <c r="D319">
        <f>IF(B319="","",IFERROR(VLOOKUP(B319,Долги!$A$2:$B$500,2,FALSE),""))</f>
        <v/>
      </c>
    </row>
    <row r="320">
      <c r="A320" s="4" t="n"/>
      <c r="C320" s="7" t="n"/>
      <c r="D320">
        <f>IF(B320="","",IFERROR(VLOOKUP(B320,Долги!$A$2:$B$500,2,FALSE),""))</f>
        <v/>
      </c>
    </row>
    <row r="321">
      <c r="A321" s="4" t="n"/>
      <c r="C321" s="7" t="n"/>
      <c r="D321">
        <f>IF(B321="","",IFERROR(VLOOKUP(B321,Долги!$A$2:$B$500,2,FALSE),""))</f>
        <v/>
      </c>
    </row>
    <row r="322">
      <c r="A322" s="4" t="n"/>
      <c r="C322" s="7" t="n"/>
      <c r="D322">
        <f>IF(B322="","",IFERROR(VLOOKUP(B322,Долги!$A$2:$B$500,2,FALSE),""))</f>
        <v/>
      </c>
    </row>
    <row r="323">
      <c r="A323" s="4" t="n"/>
      <c r="C323" s="7" t="n"/>
      <c r="D323">
        <f>IF(B323="","",IFERROR(VLOOKUP(B323,Долги!$A$2:$B$500,2,FALSE),""))</f>
        <v/>
      </c>
    </row>
    <row r="324">
      <c r="A324" s="4" t="n"/>
      <c r="C324" s="7" t="n"/>
      <c r="D324">
        <f>IF(B324="","",IFERROR(VLOOKUP(B324,Долги!$A$2:$B$500,2,FALSE),""))</f>
        <v/>
      </c>
    </row>
    <row r="325">
      <c r="A325" s="4" t="n"/>
      <c r="C325" s="7" t="n"/>
      <c r="D325">
        <f>IF(B325="","",IFERROR(VLOOKUP(B325,Долги!$A$2:$B$500,2,FALSE),""))</f>
        <v/>
      </c>
    </row>
    <row r="326">
      <c r="A326" s="4" t="n"/>
      <c r="C326" s="7" t="n"/>
      <c r="D326">
        <f>IF(B326="","",IFERROR(VLOOKUP(B326,Долги!$A$2:$B$500,2,FALSE),""))</f>
        <v/>
      </c>
    </row>
    <row r="327">
      <c r="A327" s="4" t="n"/>
      <c r="C327" s="7" t="n"/>
      <c r="D327">
        <f>IF(B327="","",IFERROR(VLOOKUP(B327,Долги!$A$2:$B$500,2,FALSE),""))</f>
        <v/>
      </c>
    </row>
    <row r="328">
      <c r="A328" s="4" t="n"/>
      <c r="C328" s="7" t="n"/>
      <c r="D328">
        <f>IF(B328="","",IFERROR(VLOOKUP(B328,Долги!$A$2:$B$500,2,FALSE),""))</f>
        <v/>
      </c>
    </row>
    <row r="329">
      <c r="A329" s="4" t="n"/>
      <c r="C329" s="7" t="n"/>
      <c r="D329">
        <f>IF(B329="","",IFERROR(VLOOKUP(B329,Долги!$A$2:$B$500,2,FALSE),""))</f>
        <v/>
      </c>
    </row>
    <row r="330">
      <c r="A330" s="4" t="n"/>
      <c r="C330" s="7" t="n"/>
      <c r="D330">
        <f>IF(B330="","",IFERROR(VLOOKUP(B330,Долги!$A$2:$B$500,2,FALSE),""))</f>
        <v/>
      </c>
    </row>
    <row r="331">
      <c r="A331" s="4" t="n"/>
      <c r="C331" s="7" t="n"/>
      <c r="D331">
        <f>IF(B331="","",IFERROR(VLOOKUP(B331,Долги!$A$2:$B$500,2,FALSE),""))</f>
        <v/>
      </c>
    </row>
    <row r="332">
      <c r="A332" s="4" t="n"/>
      <c r="C332" s="7" t="n"/>
      <c r="D332">
        <f>IF(B332="","",IFERROR(VLOOKUP(B332,Долги!$A$2:$B$500,2,FALSE),""))</f>
        <v/>
      </c>
    </row>
    <row r="333">
      <c r="A333" s="4" t="n"/>
      <c r="C333" s="7" t="n"/>
      <c r="D333">
        <f>IF(B333="","",IFERROR(VLOOKUP(B333,Долги!$A$2:$B$500,2,FALSE),""))</f>
        <v/>
      </c>
    </row>
    <row r="334">
      <c r="A334" s="4" t="n"/>
      <c r="C334" s="7" t="n"/>
      <c r="D334">
        <f>IF(B334="","",IFERROR(VLOOKUP(B334,Долги!$A$2:$B$500,2,FALSE),""))</f>
        <v/>
      </c>
    </row>
    <row r="335">
      <c r="A335" s="4" t="n"/>
      <c r="C335" s="7" t="n"/>
      <c r="D335">
        <f>IF(B335="","",IFERROR(VLOOKUP(B335,Долги!$A$2:$B$500,2,FALSE),""))</f>
        <v/>
      </c>
    </row>
    <row r="336">
      <c r="A336" s="4" t="n"/>
      <c r="C336" s="7" t="n"/>
      <c r="D336">
        <f>IF(B336="","",IFERROR(VLOOKUP(B336,Долги!$A$2:$B$500,2,FALSE),""))</f>
        <v/>
      </c>
    </row>
    <row r="337">
      <c r="A337" s="4" t="n"/>
      <c r="C337" s="7" t="n"/>
      <c r="D337">
        <f>IF(B337="","",IFERROR(VLOOKUP(B337,Долги!$A$2:$B$500,2,FALSE),""))</f>
        <v/>
      </c>
    </row>
    <row r="338">
      <c r="A338" s="4" t="n"/>
      <c r="C338" s="7" t="n"/>
      <c r="D338">
        <f>IF(B338="","",IFERROR(VLOOKUP(B338,Долги!$A$2:$B$500,2,FALSE),""))</f>
        <v/>
      </c>
    </row>
    <row r="339">
      <c r="A339" s="4" t="n"/>
      <c r="C339" s="7" t="n"/>
      <c r="D339">
        <f>IF(B339="","",IFERROR(VLOOKUP(B339,Долги!$A$2:$B$500,2,FALSE),""))</f>
        <v/>
      </c>
    </row>
    <row r="340">
      <c r="A340" s="4" t="n"/>
      <c r="C340" s="7" t="n"/>
      <c r="D340">
        <f>IF(B340="","",IFERROR(VLOOKUP(B340,Долги!$A$2:$B$500,2,FALSE),""))</f>
        <v/>
      </c>
    </row>
    <row r="341">
      <c r="A341" s="4" t="n"/>
      <c r="C341" s="7" t="n"/>
      <c r="D341">
        <f>IF(B341="","",IFERROR(VLOOKUP(B341,Долги!$A$2:$B$500,2,FALSE),""))</f>
        <v/>
      </c>
    </row>
    <row r="342">
      <c r="A342" s="4" t="n"/>
      <c r="C342" s="7" t="n"/>
      <c r="D342">
        <f>IF(B342="","",IFERROR(VLOOKUP(B342,Долги!$A$2:$B$500,2,FALSE),""))</f>
        <v/>
      </c>
    </row>
    <row r="343">
      <c r="A343" s="4" t="n"/>
      <c r="C343" s="7" t="n"/>
      <c r="D343">
        <f>IF(B343="","",IFERROR(VLOOKUP(B343,Долги!$A$2:$B$500,2,FALSE),""))</f>
        <v/>
      </c>
    </row>
    <row r="344">
      <c r="A344" s="4" t="n"/>
      <c r="C344" s="7" t="n"/>
      <c r="D344">
        <f>IF(B344="","",IFERROR(VLOOKUP(B344,Долги!$A$2:$B$500,2,FALSE),""))</f>
        <v/>
      </c>
    </row>
    <row r="345">
      <c r="A345" s="4" t="n"/>
      <c r="C345" s="7" t="n"/>
      <c r="D345">
        <f>IF(B345="","",IFERROR(VLOOKUP(B345,Долги!$A$2:$B$500,2,FALSE),""))</f>
        <v/>
      </c>
    </row>
    <row r="346">
      <c r="A346" s="4" t="n"/>
      <c r="C346" s="7" t="n"/>
      <c r="D346">
        <f>IF(B346="","",IFERROR(VLOOKUP(B346,Долги!$A$2:$B$500,2,FALSE),""))</f>
        <v/>
      </c>
    </row>
    <row r="347">
      <c r="A347" s="4" t="n"/>
      <c r="C347" s="7" t="n"/>
      <c r="D347">
        <f>IF(B347="","",IFERROR(VLOOKUP(B347,Долги!$A$2:$B$500,2,FALSE),""))</f>
        <v/>
      </c>
    </row>
    <row r="348">
      <c r="A348" s="4" t="n"/>
      <c r="C348" s="7" t="n"/>
      <c r="D348">
        <f>IF(B348="","",IFERROR(VLOOKUP(B348,Долги!$A$2:$B$500,2,FALSE),""))</f>
        <v/>
      </c>
    </row>
    <row r="349">
      <c r="A349" s="4" t="n"/>
      <c r="C349" s="7" t="n"/>
      <c r="D349">
        <f>IF(B349="","",IFERROR(VLOOKUP(B349,Долги!$A$2:$B$500,2,FALSE),""))</f>
        <v/>
      </c>
    </row>
    <row r="350">
      <c r="A350" s="4" t="n"/>
      <c r="C350" s="7" t="n"/>
      <c r="D350">
        <f>IF(B350="","",IFERROR(VLOOKUP(B350,Долги!$A$2:$B$500,2,FALSE),""))</f>
        <v/>
      </c>
    </row>
    <row r="351">
      <c r="A351" s="4" t="n"/>
      <c r="C351" s="7" t="n"/>
      <c r="D351">
        <f>IF(B351="","",IFERROR(VLOOKUP(B351,Долги!$A$2:$B$500,2,FALSE),""))</f>
        <v/>
      </c>
    </row>
    <row r="352">
      <c r="A352" s="4" t="n"/>
      <c r="C352" s="7" t="n"/>
      <c r="D352">
        <f>IF(B352="","",IFERROR(VLOOKUP(B352,Долги!$A$2:$B$500,2,FALSE),""))</f>
        <v/>
      </c>
    </row>
    <row r="353">
      <c r="A353" s="4" t="n"/>
      <c r="C353" s="7" t="n"/>
      <c r="D353">
        <f>IF(B353="","",IFERROR(VLOOKUP(B353,Долги!$A$2:$B$500,2,FALSE),""))</f>
        <v/>
      </c>
    </row>
    <row r="354">
      <c r="A354" s="4" t="n"/>
      <c r="C354" s="7" t="n"/>
      <c r="D354">
        <f>IF(B354="","",IFERROR(VLOOKUP(B354,Долги!$A$2:$B$500,2,FALSE),""))</f>
        <v/>
      </c>
    </row>
    <row r="355">
      <c r="A355" s="4" t="n"/>
      <c r="C355" s="7" t="n"/>
      <c r="D355">
        <f>IF(B355="","",IFERROR(VLOOKUP(B355,Долги!$A$2:$B$500,2,FALSE),""))</f>
        <v/>
      </c>
    </row>
    <row r="356">
      <c r="A356" s="4" t="n"/>
      <c r="C356" s="7" t="n"/>
      <c r="D356">
        <f>IF(B356="","",IFERROR(VLOOKUP(B356,Долги!$A$2:$B$500,2,FALSE),""))</f>
        <v/>
      </c>
    </row>
    <row r="357">
      <c r="A357" s="4" t="n"/>
      <c r="C357" s="7" t="n"/>
      <c r="D357">
        <f>IF(B357="","",IFERROR(VLOOKUP(B357,Долги!$A$2:$B$500,2,FALSE),""))</f>
        <v/>
      </c>
    </row>
    <row r="358">
      <c r="A358" s="4" t="n"/>
      <c r="C358" s="7" t="n"/>
      <c r="D358">
        <f>IF(B358="","",IFERROR(VLOOKUP(B358,Долги!$A$2:$B$500,2,FALSE),""))</f>
        <v/>
      </c>
    </row>
    <row r="359">
      <c r="A359" s="4" t="n"/>
      <c r="C359" s="7" t="n"/>
      <c r="D359">
        <f>IF(B359="","",IFERROR(VLOOKUP(B359,Долги!$A$2:$B$500,2,FALSE),""))</f>
        <v/>
      </c>
    </row>
    <row r="360">
      <c r="A360" s="4" t="n"/>
      <c r="C360" s="7" t="n"/>
      <c r="D360">
        <f>IF(B360="","",IFERROR(VLOOKUP(B360,Долги!$A$2:$B$500,2,FALSE),""))</f>
        <v/>
      </c>
    </row>
    <row r="361">
      <c r="A361" s="4" t="n"/>
      <c r="C361" s="7" t="n"/>
      <c r="D361">
        <f>IF(B361="","",IFERROR(VLOOKUP(B361,Долги!$A$2:$B$500,2,FALSE),""))</f>
        <v/>
      </c>
    </row>
    <row r="362">
      <c r="A362" s="4" t="n"/>
      <c r="C362" s="7" t="n"/>
      <c r="D362">
        <f>IF(B362="","",IFERROR(VLOOKUP(B362,Долги!$A$2:$B$500,2,FALSE),""))</f>
        <v/>
      </c>
    </row>
    <row r="363">
      <c r="A363" s="4" t="n"/>
      <c r="C363" s="7" t="n"/>
      <c r="D363">
        <f>IF(B363="","",IFERROR(VLOOKUP(B363,Долги!$A$2:$B$500,2,FALSE),""))</f>
        <v/>
      </c>
    </row>
    <row r="364">
      <c r="A364" s="4" t="n"/>
      <c r="C364" s="7" t="n"/>
      <c r="D364">
        <f>IF(B364="","",IFERROR(VLOOKUP(B364,Долги!$A$2:$B$500,2,FALSE),""))</f>
        <v/>
      </c>
    </row>
    <row r="365">
      <c r="A365" s="4" t="n"/>
      <c r="C365" s="7" t="n"/>
      <c r="D365">
        <f>IF(B365="","",IFERROR(VLOOKUP(B365,Долги!$A$2:$B$500,2,FALSE),""))</f>
        <v/>
      </c>
    </row>
    <row r="366">
      <c r="A366" s="4" t="n"/>
      <c r="C366" s="7" t="n"/>
      <c r="D366">
        <f>IF(B366="","",IFERROR(VLOOKUP(B366,Долги!$A$2:$B$500,2,FALSE),""))</f>
        <v/>
      </c>
    </row>
    <row r="367">
      <c r="A367" s="4" t="n"/>
      <c r="C367" s="7" t="n"/>
      <c r="D367">
        <f>IF(B367="","",IFERROR(VLOOKUP(B367,Долги!$A$2:$B$500,2,FALSE),""))</f>
        <v/>
      </c>
    </row>
    <row r="368">
      <c r="A368" s="4" t="n"/>
      <c r="C368" s="7" t="n"/>
      <c r="D368">
        <f>IF(B368="","",IFERROR(VLOOKUP(B368,Долги!$A$2:$B$500,2,FALSE),""))</f>
        <v/>
      </c>
    </row>
    <row r="369">
      <c r="A369" s="4" t="n"/>
      <c r="C369" s="7" t="n"/>
      <c r="D369">
        <f>IF(B369="","",IFERROR(VLOOKUP(B369,Долги!$A$2:$B$500,2,FALSE),""))</f>
        <v/>
      </c>
    </row>
    <row r="370">
      <c r="A370" s="4" t="n"/>
      <c r="C370" s="7" t="n"/>
      <c r="D370">
        <f>IF(B370="","",IFERROR(VLOOKUP(B370,Долги!$A$2:$B$500,2,FALSE),""))</f>
        <v/>
      </c>
    </row>
    <row r="371">
      <c r="A371" s="4" t="n"/>
      <c r="C371" s="7" t="n"/>
      <c r="D371">
        <f>IF(B371="","",IFERROR(VLOOKUP(B371,Долги!$A$2:$B$500,2,FALSE),""))</f>
        <v/>
      </c>
    </row>
    <row r="372">
      <c r="A372" s="4" t="n"/>
      <c r="C372" s="7" t="n"/>
      <c r="D372">
        <f>IF(B372="","",IFERROR(VLOOKUP(B372,Долги!$A$2:$B$500,2,FALSE),""))</f>
        <v/>
      </c>
    </row>
    <row r="373">
      <c r="A373" s="4" t="n"/>
      <c r="C373" s="7" t="n"/>
      <c r="D373">
        <f>IF(B373="","",IFERROR(VLOOKUP(B373,Долги!$A$2:$B$500,2,FALSE),""))</f>
        <v/>
      </c>
    </row>
    <row r="374">
      <c r="A374" s="4" t="n"/>
      <c r="C374" s="7" t="n"/>
      <c r="D374">
        <f>IF(B374="","",IFERROR(VLOOKUP(B374,Долги!$A$2:$B$500,2,FALSE),""))</f>
        <v/>
      </c>
    </row>
    <row r="375">
      <c r="A375" s="4" t="n"/>
      <c r="C375" s="7" t="n"/>
      <c r="D375">
        <f>IF(B375="","",IFERROR(VLOOKUP(B375,Долги!$A$2:$B$500,2,FALSE),""))</f>
        <v/>
      </c>
    </row>
    <row r="376">
      <c r="A376" s="4" t="n"/>
      <c r="C376" s="7" t="n"/>
      <c r="D376">
        <f>IF(B376="","",IFERROR(VLOOKUP(B376,Долги!$A$2:$B$500,2,FALSE),""))</f>
        <v/>
      </c>
    </row>
    <row r="377">
      <c r="A377" s="4" t="n"/>
      <c r="C377" s="7" t="n"/>
      <c r="D377">
        <f>IF(B377="","",IFERROR(VLOOKUP(B377,Долги!$A$2:$B$500,2,FALSE),""))</f>
        <v/>
      </c>
    </row>
    <row r="378">
      <c r="A378" s="4" t="n"/>
      <c r="C378" s="7" t="n"/>
      <c r="D378">
        <f>IF(B378="","",IFERROR(VLOOKUP(B378,Долги!$A$2:$B$500,2,FALSE),""))</f>
        <v/>
      </c>
    </row>
    <row r="379">
      <c r="A379" s="4" t="n"/>
      <c r="C379" s="7" t="n"/>
      <c r="D379">
        <f>IF(B379="","",IFERROR(VLOOKUP(B379,Долги!$A$2:$B$500,2,FALSE),""))</f>
        <v/>
      </c>
    </row>
    <row r="380">
      <c r="A380" s="4" t="n"/>
      <c r="C380" s="7" t="n"/>
      <c r="D380">
        <f>IF(B380="","",IFERROR(VLOOKUP(B380,Долги!$A$2:$B$500,2,FALSE),""))</f>
        <v/>
      </c>
    </row>
    <row r="381">
      <c r="A381" s="4" t="n"/>
      <c r="C381" s="7" t="n"/>
      <c r="D381">
        <f>IF(B381="","",IFERROR(VLOOKUP(B381,Долги!$A$2:$B$500,2,FALSE),""))</f>
        <v/>
      </c>
    </row>
    <row r="382">
      <c r="A382" s="4" t="n"/>
      <c r="C382" s="7" t="n"/>
      <c r="D382">
        <f>IF(B382="","",IFERROR(VLOOKUP(B382,Долги!$A$2:$B$500,2,FALSE),""))</f>
        <v/>
      </c>
    </row>
    <row r="383">
      <c r="A383" s="4" t="n"/>
      <c r="C383" s="7" t="n"/>
      <c r="D383">
        <f>IF(B383="","",IFERROR(VLOOKUP(B383,Долги!$A$2:$B$500,2,FALSE),""))</f>
        <v/>
      </c>
    </row>
    <row r="384">
      <c r="A384" s="4" t="n"/>
      <c r="C384" s="7" t="n"/>
      <c r="D384">
        <f>IF(B384="","",IFERROR(VLOOKUP(B384,Долги!$A$2:$B$500,2,FALSE),""))</f>
        <v/>
      </c>
    </row>
    <row r="385">
      <c r="A385" s="4" t="n"/>
      <c r="C385" s="7" t="n"/>
      <c r="D385">
        <f>IF(B385="","",IFERROR(VLOOKUP(B385,Долги!$A$2:$B$500,2,FALSE),""))</f>
        <v/>
      </c>
    </row>
    <row r="386">
      <c r="A386" s="4" t="n"/>
      <c r="C386" s="7" t="n"/>
      <c r="D386">
        <f>IF(B386="","",IFERROR(VLOOKUP(B386,Долги!$A$2:$B$500,2,FALSE),""))</f>
        <v/>
      </c>
    </row>
    <row r="387">
      <c r="A387" s="4" t="n"/>
      <c r="C387" s="7" t="n"/>
      <c r="D387">
        <f>IF(B387="","",IFERROR(VLOOKUP(B387,Долги!$A$2:$B$500,2,FALSE),""))</f>
        <v/>
      </c>
    </row>
    <row r="388">
      <c r="A388" s="4" t="n"/>
      <c r="C388" s="7" t="n"/>
      <c r="D388">
        <f>IF(B388="","",IFERROR(VLOOKUP(B388,Долги!$A$2:$B$500,2,FALSE),""))</f>
        <v/>
      </c>
    </row>
    <row r="389">
      <c r="A389" s="4" t="n"/>
      <c r="C389" s="7" t="n"/>
      <c r="D389">
        <f>IF(B389="","",IFERROR(VLOOKUP(B389,Долги!$A$2:$B$500,2,FALSE),""))</f>
        <v/>
      </c>
    </row>
    <row r="390">
      <c r="A390" s="4" t="n"/>
      <c r="C390" s="7" t="n"/>
      <c r="D390">
        <f>IF(B390="","",IFERROR(VLOOKUP(B390,Долги!$A$2:$B$500,2,FALSE),""))</f>
        <v/>
      </c>
    </row>
    <row r="391">
      <c r="A391" s="4" t="n"/>
      <c r="C391" s="7" t="n"/>
      <c r="D391">
        <f>IF(B391="","",IFERROR(VLOOKUP(B391,Долги!$A$2:$B$500,2,FALSE),""))</f>
        <v/>
      </c>
    </row>
    <row r="392">
      <c r="A392" s="4" t="n"/>
      <c r="C392" s="7" t="n"/>
      <c r="D392">
        <f>IF(B392="","",IFERROR(VLOOKUP(B392,Долги!$A$2:$B$500,2,FALSE),""))</f>
        <v/>
      </c>
    </row>
    <row r="393">
      <c r="A393" s="4" t="n"/>
      <c r="C393" s="7" t="n"/>
      <c r="D393">
        <f>IF(B393="","",IFERROR(VLOOKUP(B393,Долги!$A$2:$B$500,2,FALSE),""))</f>
        <v/>
      </c>
    </row>
    <row r="394">
      <c r="A394" s="4" t="n"/>
      <c r="C394" s="7" t="n"/>
      <c r="D394">
        <f>IF(B394="","",IFERROR(VLOOKUP(B394,Долги!$A$2:$B$500,2,FALSE),""))</f>
        <v/>
      </c>
    </row>
    <row r="395">
      <c r="A395" s="4" t="n"/>
      <c r="C395" s="7" t="n"/>
      <c r="D395">
        <f>IF(B395="","",IFERROR(VLOOKUP(B395,Долги!$A$2:$B$500,2,FALSE),""))</f>
        <v/>
      </c>
    </row>
    <row r="396">
      <c r="A396" s="4" t="n"/>
      <c r="C396" s="7" t="n"/>
      <c r="D396">
        <f>IF(B396="","",IFERROR(VLOOKUP(B396,Долги!$A$2:$B$500,2,FALSE),""))</f>
        <v/>
      </c>
    </row>
    <row r="397">
      <c r="A397" s="4" t="n"/>
      <c r="C397" s="7" t="n"/>
      <c r="D397">
        <f>IF(B397="","",IFERROR(VLOOKUP(B397,Долги!$A$2:$B$500,2,FALSE),""))</f>
        <v/>
      </c>
    </row>
    <row r="398">
      <c r="A398" s="4" t="n"/>
      <c r="C398" s="7" t="n"/>
      <c r="D398">
        <f>IF(B398="","",IFERROR(VLOOKUP(B398,Долги!$A$2:$B$500,2,FALSE),""))</f>
        <v/>
      </c>
    </row>
    <row r="399">
      <c r="A399" s="4" t="n"/>
      <c r="C399" s="7" t="n"/>
      <c r="D399">
        <f>IF(B399="","",IFERROR(VLOOKUP(B399,Долги!$A$2:$B$500,2,FALSE),""))</f>
        <v/>
      </c>
    </row>
    <row r="400">
      <c r="A400" s="4" t="n"/>
      <c r="C400" s="7" t="n"/>
      <c r="D400">
        <f>IF(B400="","",IFERROR(VLOOKUP(B400,Долги!$A$2:$B$500,2,FALSE),""))</f>
        <v/>
      </c>
    </row>
    <row r="401">
      <c r="A401" s="4" t="n"/>
      <c r="C401" s="7" t="n"/>
      <c r="D401">
        <f>IF(B401="","",IFERROR(VLOOKUP(B401,Долги!$A$2:$B$500,2,FALSE),""))</f>
        <v/>
      </c>
    </row>
    <row r="402">
      <c r="A402" s="4" t="n"/>
      <c r="C402" s="7" t="n"/>
      <c r="D402">
        <f>IF(B402="","",IFERROR(VLOOKUP(B402,Долги!$A$2:$B$500,2,FALSE),""))</f>
        <v/>
      </c>
    </row>
    <row r="403">
      <c r="A403" s="4" t="n"/>
      <c r="C403" s="7" t="n"/>
      <c r="D403">
        <f>IF(B403="","",IFERROR(VLOOKUP(B403,Долги!$A$2:$B$500,2,FALSE),""))</f>
        <v/>
      </c>
    </row>
    <row r="404">
      <c r="A404" s="4" t="n"/>
      <c r="C404" s="7" t="n"/>
      <c r="D404">
        <f>IF(B404="","",IFERROR(VLOOKUP(B404,Долги!$A$2:$B$500,2,FALSE),""))</f>
        <v/>
      </c>
    </row>
    <row r="405">
      <c r="A405" s="4" t="n"/>
      <c r="C405" s="7" t="n"/>
      <c r="D405">
        <f>IF(B405="","",IFERROR(VLOOKUP(B405,Долги!$A$2:$B$500,2,FALSE),""))</f>
        <v/>
      </c>
    </row>
    <row r="406">
      <c r="A406" s="4" t="n"/>
      <c r="C406" s="7" t="n"/>
      <c r="D406">
        <f>IF(B406="","",IFERROR(VLOOKUP(B406,Долги!$A$2:$B$500,2,FALSE),""))</f>
        <v/>
      </c>
    </row>
    <row r="407">
      <c r="A407" s="4" t="n"/>
      <c r="C407" s="7" t="n"/>
      <c r="D407">
        <f>IF(B407="","",IFERROR(VLOOKUP(B407,Долги!$A$2:$B$500,2,FALSE),""))</f>
        <v/>
      </c>
    </row>
    <row r="408">
      <c r="A408" s="4" t="n"/>
      <c r="C408" s="7" t="n"/>
      <c r="D408">
        <f>IF(B408="","",IFERROR(VLOOKUP(B408,Долги!$A$2:$B$500,2,FALSE),""))</f>
        <v/>
      </c>
    </row>
    <row r="409">
      <c r="A409" s="4" t="n"/>
      <c r="C409" s="7" t="n"/>
      <c r="D409">
        <f>IF(B409="","",IFERROR(VLOOKUP(B409,Долги!$A$2:$B$500,2,FALSE),""))</f>
        <v/>
      </c>
    </row>
    <row r="410">
      <c r="A410" s="4" t="n"/>
      <c r="C410" s="7" t="n"/>
      <c r="D410">
        <f>IF(B410="","",IFERROR(VLOOKUP(B410,Долги!$A$2:$B$500,2,FALSE),""))</f>
        <v/>
      </c>
    </row>
    <row r="411">
      <c r="A411" s="4" t="n"/>
      <c r="C411" s="7" t="n"/>
      <c r="D411">
        <f>IF(B411="","",IFERROR(VLOOKUP(B411,Долги!$A$2:$B$500,2,FALSE),""))</f>
        <v/>
      </c>
    </row>
    <row r="412">
      <c r="A412" s="4" t="n"/>
      <c r="C412" s="7" t="n"/>
      <c r="D412">
        <f>IF(B412="","",IFERROR(VLOOKUP(B412,Долги!$A$2:$B$500,2,FALSE),""))</f>
        <v/>
      </c>
    </row>
    <row r="413">
      <c r="A413" s="4" t="n"/>
      <c r="C413" s="7" t="n"/>
      <c r="D413">
        <f>IF(B413="","",IFERROR(VLOOKUP(B413,Долги!$A$2:$B$500,2,FALSE),""))</f>
        <v/>
      </c>
    </row>
    <row r="414">
      <c r="A414" s="4" t="n"/>
      <c r="C414" s="7" t="n"/>
      <c r="D414">
        <f>IF(B414="","",IFERROR(VLOOKUP(B414,Долги!$A$2:$B$500,2,FALSE),""))</f>
        <v/>
      </c>
    </row>
    <row r="415">
      <c r="A415" s="4" t="n"/>
      <c r="C415" s="7" t="n"/>
      <c r="D415">
        <f>IF(B415="","",IFERROR(VLOOKUP(B415,Долги!$A$2:$B$500,2,FALSE),""))</f>
        <v/>
      </c>
    </row>
    <row r="416">
      <c r="A416" s="4" t="n"/>
      <c r="C416" s="7" t="n"/>
      <c r="D416">
        <f>IF(B416="","",IFERROR(VLOOKUP(B416,Долги!$A$2:$B$500,2,FALSE),""))</f>
        <v/>
      </c>
    </row>
    <row r="417">
      <c r="A417" s="4" t="n"/>
      <c r="C417" s="7" t="n"/>
      <c r="D417">
        <f>IF(B417="","",IFERROR(VLOOKUP(B417,Долги!$A$2:$B$500,2,FALSE),""))</f>
        <v/>
      </c>
    </row>
    <row r="418">
      <c r="A418" s="4" t="n"/>
      <c r="C418" s="7" t="n"/>
      <c r="D418">
        <f>IF(B418="","",IFERROR(VLOOKUP(B418,Долги!$A$2:$B$500,2,FALSE),""))</f>
        <v/>
      </c>
    </row>
    <row r="419">
      <c r="A419" s="4" t="n"/>
      <c r="C419" s="7" t="n"/>
      <c r="D419">
        <f>IF(B419="","",IFERROR(VLOOKUP(B419,Долги!$A$2:$B$500,2,FALSE),""))</f>
        <v/>
      </c>
    </row>
    <row r="420">
      <c r="A420" s="4" t="n"/>
      <c r="C420" s="7" t="n"/>
      <c r="D420">
        <f>IF(B420="","",IFERROR(VLOOKUP(B420,Долги!$A$2:$B$500,2,FALSE),""))</f>
        <v/>
      </c>
    </row>
    <row r="421">
      <c r="A421" s="4" t="n"/>
      <c r="C421" s="7" t="n"/>
      <c r="D421">
        <f>IF(B421="","",IFERROR(VLOOKUP(B421,Долги!$A$2:$B$500,2,FALSE),""))</f>
        <v/>
      </c>
    </row>
    <row r="422">
      <c r="A422" s="4" t="n"/>
      <c r="C422" s="7" t="n"/>
      <c r="D422">
        <f>IF(B422="","",IFERROR(VLOOKUP(B422,Долги!$A$2:$B$500,2,FALSE),""))</f>
        <v/>
      </c>
    </row>
    <row r="423">
      <c r="A423" s="4" t="n"/>
      <c r="C423" s="7" t="n"/>
      <c r="D423">
        <f>IF(B423="","",IFERROR(VLOOKUP(B423,Долги!$A$2:$B$500,2,FALSE),""))</f>
        <v/>
      </c>
    </row>
    <row r="424">
      <c r="A424" s="4" t="n"/>
      <c r="C424" s="7" t="n"/>
      <c r="D424">
        <f>IF(B424="","",IFERROR(VLOOKUP(B424,Долги!$A$2:$B$500,2,FALSE),""))</f>
        <v/>
      </c>
    </row>
    <row r="425">
      <c r="A425" s="4" t="n"/>
      <c r="C425" s="7" t="n"/>
      <c r="D425">
        <f>IF(B425="","",IFERROR(VLOOKUP(B425,Долги!$A$2:$B$500,2,FALSE),""))</f>
        <v/>
      </c>
    </row>
    <row r="426">
      <c r="A426" s="4" t="n"/>
      <c r="C426" s="7" t="n"/>
      <c r="D426">
        <f>IF(B426="","",IFERROR(VLOOKUP(B426,Долги!$A$2:$B$500,2,FALSE),""))</f>
        <v/>
      </c>
    </row>
    <row r="427">
      <c r="A427" s="4" t="n"/>
      <c r="C427" s="7" t="n"/>
      <c r="D427">
        <f>IF(B427="","",IFERROR(VLOOKUP(B427,Долги!$A$2:$B$500,2,FALSE),""))</f>
        <v/>
      </c>
    </row>
    <row r="428">
      <c r="A428" s="4" t="n"/>
      <c r="C428" s="7" t="n"/>
      <c r="D428">
        <f>IF(B428="","",IFERROR(VLOOKUP(B428,Долги!$A$2:$B$500,2,FALSE),""))</f>
        <v/>
      </c>
    </row>
    <row r="429">
      <c r="A429" s="4" t="n"/>
      <c r="C429" s="7" t="n"/>
      <c r="D429">
        <f>IF(B429="","",IFERROR(VLOOKUP(B429,Долги!$A$2:$B$500,2,FALSE),""))</f>
        <v/>
      </c>
    </row>
    <row r="430">
      <c r="A430" s="4" t="n"/>
      <c r="C430" s="7" t="n"/>
      <c r="D430">
        <f>IF(B430="","",IFERROR(VLOOKUP(B430,Долги!$A$2:$B$500,2,FALSE),""))</f>
        <v/>
      </c>
    </row>
    <row r="431">
      <c r="A431" s="4" t="n"/>
      <c r="C431" s="7" t="n"/>
      <c r="D431">
        <f>IF(B431="","",IFERROR(VLOOKUP(B431,Долги!$A$2:$B$500,2,FALSE),""))</f>
        <v/>
      </c>
    </row>
    <row r="432">
      <c r="A432" s="4" t="n"/>
      <c r="C432" s="7" t="n"/>
      <c r="D432">
        <f>IF(B432="","",IFERROR(VLOOKUP(B432,Долги!$A$2:$B$500,2,FALSE),""))</f>
        <v/>
      </c>
    </row>
    <row r="433">
      <c r="A433" s="4" t="n"/>
      <c r="C433" s="7" t="n"/>
      <c r="D433">
        <f>IF(B433="","",IFERROR(VLOOKUP(B433,Долги!$A$2:$B$500,2,FALSE),""))</f>
        <v/>
      </c>
    </row>
    <row r="434">
      <c r="A434" s="4" t="n"/>
      <c r="C434" s="7" t="n"/>
      <c r="D434">
        <f>IF(B434="","",IFERROR(VLOOKUP(B434,Долги!$A$2:$B$500,2,FALSE),""))</f>
        <v/>
      </c>
    </row>
    <row r="435">
      <c r="A435" s="4" t="n"/>
      <c r="C435" s="7" t="n"/>
      <c r="D435">
        <f>IF(B435="","",IFERROR(VLOOKUP(B435,Долги!$A$2:$B$500,2,FALSE),""))</f>
        <v/>
      </c>
    </row>
    <row r="436">
      <c r="A436" s="4" t="n"/>
      <c r="C436" s="7" t="n"/>
      <c r="D436">
        <f>IF(B436="","",IFERROR(VLOOKUP(B436,Долги!$A$2:$B$500,2,FALSE),""))</f>
        <v/>
      </c>
    </row>
    <row r="437">
      <c r="A437" s="4" t="n"/>
      <c r="C437" s="7" t="n"/>
      <c r="D437">
        <f>IF(B437="","",IFERROR(VLOOKUP(B437,Долги!$A$2:$B$500,2,FALSE),""))</f>
        <v/>
      </c>
    </row>
    <row r="438">
      <c r="A438" s="4" t="n"/>
      <c r="C438" s="7" t="n"/>
      <c r="D438">
        <f>IF(B438="","",IFERROR(VLOOKUP(B438,Долги!$A$2:$B$500,2,FALSE),""))</f>
        <v/>
      </c>
    </row>
    <row r="439">
      <c r="A439" s="4" t="n"/>
      <c r="C439" s="7" t="n"/>
      <c r="D439">
        <f>IF(B439="","",IFERROR(VLOOKUP(B439,Долги!$A$2:$B$500,2,FALSE),""))</f>
        <v/>
      </c>
    </row>
    <row r="440">
      <c r="A440" s="4" t="n"/>
      <c r="C440" s="7" t="n"/>
      <c r="D440">
        <f>IF(B440="","",IFERROR(VLOOKUP(B440,Долги!$A$2:$B$500,2,FALSE),""))</f>
        <v/>
      </c>
    </row>
    <row r="441">
      <c r="A441" s="4" t="n"/>
      <c r="C441" s="7" t="n"/>
      <c r="D441">
        <f>IF(B441="","",IFERROR(VLOOKUP(B441,Долги!$A$2:$B$500,2,FALSE),""))</f>
        <v/>
      </c>
    </row>
    <row r="442">
      <c r="A442" s="4" t="n"/>
      <c r="C442" s="7" t="n"/>
      <c r="D442">
        <f>IF(B442="","",IFERROR(VLOOKUP(B442,Долги!$A$2:$B$500,2,FALSE),""))</f>
        <v/>
      </c>
    </row>
    <row r="443">
      <c r="A443" s="4" t="n"/>
      <c r="C443" s="7" t="n"/>
      <c r="D443">
        <f>IF(B443="","",IFERROR(VLOOKUP(B443,Долги!$A$2:$B$500,2,FALSE),""))</f>
        <v/>
      </c>
    </row>
    <row r="444">
      <c r="A444" s="4" t="n"/>
      <c r="C444" s="7" t="n"/>
      <c r="D444">
        <f>IF(B444="","",IFERROR(VLOOKUP(B444,Долги!$A$2:$B$500,2,FALSE),""))</f>
        <v/>
      </c>
    </row>
    <row r="445">
      <c r="A445" s="4" t="n"/>
      <c r="C445" s="7" t="n"/>
      <c r="D445">
        <f>IF(B445="","",IFERROR(VLOOKUP(B445,Долги!$A$2:$B$500,2,FALSE),""))</f>
        <v/>
      </c>
    </row>
    <row r="446">
      <c r="A446" s="4" t="n"/>
      <c r="C446" s="7" t="n"/>
      <c r="D446">
        <f>IF(B446="","",IFERROR(VLOOKUP(B446,Долги!$A$2:$B$500,2,FALSE),""))</f>
        <v/>
      </c>
    </row>
    <row r="447">
      <c r="A447" s="4" t="n"/>
      <c r="C447" s="7" t="n"/>
      <c r="D447">
        <f>IF(B447="","",IFERROR(VLOOKUP(B447,Долги!$A$2:$B$500,2,FALSE),""))</f>
        <v/>
      </c>
    </row>
    <row r="448">
      <c r="A448" s="4" t="n"/>
      <c r="C448" s="7" t="n"/>
      <c r="D448">
        <f>IF(B448="","",IFERROR(VLOOKUP(B448,Долги!$A$2:$B$500,2,FALSE),""))</f>
        <v/>
      </c>
    </row>
    <row r="449">
      <c r="A449" s="4" t="n"/>
      <c r="C449" s="7" t="n"/>
      <c r="D449">
        <f>IF(B449="","",IFERROR(VLOOKUP(B449,Долги!$A$2:$B$500,2,FALSE),""))</f>
        <v/>
      </c>
    </row>
    <row r="450">
      <c r="A450" s="4" t="n"/>
      <c r="C450" s="7" t="n"/>
      <c r="D450">
        <f>IF(B450="","",IFERROR(VLOOKUP(B450,Долги!$A$2:$B$500,2,FALSE),""))</f>
        <v/>
      </c>
    </row>
    <row r="451">
      <c r="A451" s="4" t="n"/>
      <c r="C451" s="7" t="n"/>
      <c r="D451">
        <f>IF(B451="","",IFERROR(VLOOKUP(B451,Долги!$A$2:$B$500,2,FALSE),""))</f>
        <v/>
      </c>
    </row>
    <row r="452">
      <c r="A452" s="4" t="n"/>
      <c r="C452" s="7" t="n"/>
      <c r="D452">
        <f>IF(B452="","",IFERROR(VLOOKUP(B452,Долги!$A$2:$B$500,2,FALSE),""))</f>
        <v/>
      </c>
    </row>
    <row r="453">
      <c r="A453" s="4" t="n"/>
      <c r="C453" s="7" t="n"/>
      <c r="D453">
        <f>IF(B453="","",IFERROR(VLOOKUP(B453,Долги!$A$2:$B$500,2,FALSE),""))</f>
        <v/>
      </c>
    </row>
    <row r="454">
      <c r="A454" s="4" t="n"/>
      <c r="C454" s="7" t="n"/>
      <c r="D454">
        <f>IF(B454="","",IFERROR(VLOOKUP(B454,Долги!$A$2:$B$500,2,FALSE),""))</f>
        <v/>
      </c>
    </row>
    <row r="455">
      <c r="A455" s="4" t="n"/>
      <c r="C455" s="7" t="n"/>
      <c r="D455">
        <f>IF(B455="","",IFERROR(VLOOKUP(B455,Долги!$A$2:$B$500,2,FALSE),""))</f>
        <v/>
      </c>
    </row>
    <row r="456">
      <c r="A456" s="4" t="n"/>
      <c r="C456" s="7" t="n"/>
      <c r="D456">
        <f>IF(B456="","",IFERROR(VLOOKUP(B456,Долги!$A$2:$B$500,2,FALSE),""))</f>
        <v/>
      </c>
    </row>
    <row r="457">
      <c r="A457" s="4" t="n"/>
      <c r="C457" s="7" t="n"/>
      <c r="D457">
        <f>IF(B457="","",IFERROR(VLOOKUP(B457,Долги!$A$2:$B$500,2,FALSE),""))</f>
        <v/>
      </c>
    </row>
    <row r="458">
      <c r="A458" s="4" t="n"/>
      <c r="C458" s="7" t="n"/>
      <c r="D458">
        <f>IF(B458="","",IFERROR(VLOOKUP(B458,Долги!$A$2:$B$500,2,FALSE),""))</f>
        <v/>
      </c>
    </row>
    <row r="459">
      <c r="A459" s="4" t="n"/>
      <c r="C459" s="7" t="n"/>
      <c r="D459">
        <f>IF(B459="","",IFERROR(VLOOKUP(B459,Долги!$A$2:$B$500,2,FALSE),""))</f>
        <v/>
      </c>
    </row>
    <row r="460">
      <c r="A460" s="4" t="n"/>
      <c r="C460" s="7" t="n"/>
      <c r="D460">
        <f>IF(B460="","",IFERROR(VLOOKUP(B460,Долги!$A$2:$B$500,2,FALSE),""))</f>
        <v/>
      </c>
    </row>
    <row r="461">
      <c r="A461" s="4" t="n"/>
      <c r="C461" s="7" t="n"/>
      <c r="D461">
        <f>IF(B461="","",IFERROR(VLOOKUP(B461,Долги!$A$2:$B$500,2,FALSE),""))</f>
        <v/>
      </c>
    </row>
    <row r="462">
      <c r="A462" s="4" t="n"/>
      <c r="C462" s="7" t="n"/>
      <c r="D462">
        <f>IF(B462="","",IFERROR(VLOOKUP(B462,Долги!$A$2:$B$500,2,FALSE),""))</f>
        <v/>
      </c>
    </row>
    <row r="463">
      <c r="A463" s="4" t="n"/>
      <c r="C463" s="7" t="n"/>
      <c r="D463">
        <f>IF(B463="","",IFERROR(VLOOKUP(B463,Долги!$A$2:$B$500,2,FALSE),""))</f>
        <v/>
      </c>
    </row>
    <row r="464">
      <c r="A464" s="4" t="n"/>
      <c r="C464" s="7" t="n"/>
      <c r="D464">
        <f>IF(B464="","",IFERROR(VLOOKUP(B464,Долги!$A$2:$B$500,2,FALSE),""))</f>
        <v/>
      </c>
    </row>
    <row r="465">
      <c r="A465" s="4" t="n"/>
      <c r="C465" s="7" t="n"/>
      <c r="D465">
        <f>IF(B465="","",IFERROR(VLOOKUP(B465,Долги!$A$2:$B$500,2,FALSE),""))</f>
        <v/>
      </c>
    </row>
    <row r="466">
      <c r="A466" s="4" t="n"/>
      <c r="C466" s="7" t="n"/>
      <c r="D466">
        <f>IF(B466="","",IFERROR(VLOOKUP(B466,Долги!$A$2:$B$500,2,FALSE),""))</f>
        <v/>
      </c>
    </row>
    <row r="467">
      <c r="A467" s="4" t="n"/>
      <c r="C467" s="7" t="n"/>
      <c r="D467">
        <f>IF(B467="","",IFERROR(VLOOKUP(B467,Долги!$A$2:$B$500,2,FALSE),""))</f>
        <v/>
      </c>
    </row>
    <row r="468">
      <c r="A468" s="4" t="n"/>
      <c r="C468" s="7" t="n"/>
      <c r="D468">
        <f>IF(B468="","",IFERROR(VLOOKUP(B468,Долги!$A$2:$B$500,2,FALSE),""))</f>
        <v/>
      </c>
    </row>
    <row r="469">
      <c r="A469" s="4" t="n"/>
      <c r="C469" s="7" t="n"/>
      <c r="D469">
        <f>IF(B469="","",IFERROR(VLOOKUP(B469,Долги!$A$2:$B$500,2,FALSE),""))</f>
        <v/>
      </c>
    </row>
    <row r="470">
      <c r="A470" s="4" t="n"/>
      <c r="C470" s="7" t="n"/>
      <c r="D470">
        <f>IF(B470="","",IFERROR(VLOOKUP(B470,Долги!$A$2:$B$500,2,FALSE),""))</f>
        <v/>
      </c>
    </row>
    <row r="471">
      <c r="A471" s="4" t="n"/>
      <c r="C471" s="7" t="n"/>
      <c r="D471">
        <f>IF(B471="","",IFERROR(VLOOKUP(B471,Долги!$A$2:$B$500,2,FALSE),""))</f>
        <v/>
      </c>
    </row>
    <row r="472">
      <c r="A472" s="4" t="n"/>
      <c r="C472" s="7" t="n"/>
      <c r="D472">
        <f>IF(B472="","",IFERROR(VLOOKUP(B472,Долги!$A$2:$B$500,2,FALSE),""))</f>
        <v/>
      </c>
    </row>
    <row r="473">
      <c r="A473" s="4" t="n"/>
      <c r="C473" s="7" t="n"/>
      <c r="D473">
        <f>IF(B473="","",IFERROR(VLOOKUP(B473,Долги!$A$2:$B$500,2,FALSE),""))</f>
        <v/>
      </c>
    </row>
    <row r="474">
      <c r="A474" s="4" t="n"/>
      <c r="C474" s="7" t="n"/>
      <c r="D474">
        <f>IF(B474="","",IFERROR(VLOOKUP(B474,Долги!$A$2:$B$500,2,FALSE),""))</f>
        <v/>
      </c>
    </row>
    <row r="475">
      <c r="A475" s="4" t="n"/>
      <c r="C475" s="7" t="n"/>
      <c r="D475">
        <f>IF(B475="","",IFERROR(VLOOKUP(B475,Долги!$A$2:$B$500,2,FALSE),""))</f>
        <v/>
      </c>
    </row>
    <row r="476">
      <c r="A476" s="4" t="n"/>
      <c r="C476" s="7" t="n"/>
      <c r="D476">
        <f>IF(B476="","",IFERROR(VLOOKUP(B476,Долги!$A$2:$B$500,2,FALSE),""))</f>
        <v/>
      </c>
    </row>
    <row r="477">
      <c r="A477" s="4" t="n"/>
      <c r="C477" s="7" t="n"/>
      <c r="D477">
        <f>IF(B477="","",IFERROR(VLOOKUP(B477,Долги!$A$2:$B$500,2,FALSE),""))</f>
        <v/>
      </c>
    </row>
    <row r="478">
      <c r="A478" s="4" t="n"/>
      <c r="C478" s="7" t="n"/>
      <c r="D478">
        <f>IF(B478="","",IFERROR(VLOOKUP(B478,Долги!$A$2:$B$500,2,FALSE),""))</f>
        <v/>
      </c>
    </row>
    <row r="479">
      <c r="A479" s="4" t="n"/>
      <c r="C479" s="7" t="n"/>
      <c r="D479">
        <f>IF(B479="","",IFERROR(VLOOKUP(B479,Долги!$A$2:$B$500,2,FALSE),""))</f>
        <v/>
      </c>
    </row>
    <row r="480">
      <c r="A480" s="4" t="n"/>
      <c r="C480" s="7" t="n"/>
      <c r="D480">
        <f>IF(B480="","",IFERROR(VLOOKUP(B480,Долги!$A$2:$B$500,2,FALSE),""))</f>
        <v/>
      </c>
    </row>
    <row r="481">
      <c r="A481" s="4" t="n"/>
      <c r="C481" s="7" t="n"/>
      <c r="D481">
        <f>IF(B481="","",IFERROR(VLOOKUP(B481,Долги!$A$2:$B$500,2,FALSE),""))</f>
        <v/>
      </c>
    </row>
    <row r="482">
      <c r="A482" s="4" t="n"/>
      <c r="C482" s="7" t="n"/>
      <c r="D482">
        <f>IF(B482="","",IFERROR(VLOOKUP(B482,Долги!$A$2:$B$500,2,FALSE),""))</f>
        <v/>
      </c>
    </row>
    <row r="483">
      <c r="A483" s="4" t="n"/>
      <c r="C483" s="7" t="n"/>
      <c r="D483">
        <f>IF(B483="","",IFERROR(VLOOKUP(B483,Долги!$A$2:$B$500,2,FALSE),""))</f>
        <v/>
      </c>
    </row>
    <row r="484">
      <c r="A484" s="4" t="n"/>
      <c r="C484" s="7" t="n"/>
      <c r="D484">
        <f>IF(B484="","",IFERROR(VLOOKUP(B484,Долги!$A$2:$B$500,2,FALSE),""))</f>
        <v/>
      </c>
    </row>
    <row r="485">
      <c r="A485" s="4" t="n"/>
      <c r="C485" s="7" t="n"/>
      <c r="D485">
        <f>IF(B485="","",IFERROR(VLOOKUP(B485,Долги!$A$2:$B$500,2,FALSE),""))</f>
        <v/>
      </c>
    </row>
    <row r="486">
      <c r="A486" s="4" t="n"/>
      <c r="C486" s="7" t="n"/>
      <c r="D486">
        <f>IF(B486="","",IFERROR(VLOOKUP(B486,Долги!$A$2:$B$500,2,FALSE),""))</f>
        <v/>
      </c>
    </row>
    <row r="487">
      <c r="A487" s="4" t="n"/>
      <c r="C487" s="7" t="n"/>
      <c r="D487">
        <f>IF(B487="","",IFERROR(VLOOKUP(B487,Долги!$A$2:$B$500,2,FALSE),""))</f>
        <v/>
      </c>
    </row>
    <row r="488">
      <c r="A488" s="4" t="n"/>
      <c r="C488" s="7" t="n"/>
      <c r="D488">
        <f>IF(B488="","",IFERROR(VLOOKUP(B488,Долги!$A$2:$B$500,2,FALSE),""))</f>
        <v/>
      </c>
    </row>
    <row r="489">
      <c r="A489" s="4" t="n"/>
      <c r="C489" s="7" t="n"/>
      <c r="D489">
        <f>IF(B489="","",IFERROR(VLOOKUP(B489,Долги!$A$2:$B$500,2,FALSE),""))</f>
        <v/>
      </c>
    </row>
    <row r="490">
      <c r="A490" s="4" t="n"/>
      <c r="C490" s="7" t="n"/>
      <c r="D490">
        <f>IF(B490="","",IFERROR(VLOOKUP(B490,Долги!$A$2:$B$500,2,FALSE),""))</f>
        <v/>
      </c>
    </row>
    <row r="491">
      <c r="A491" s="4" t="n"/>
      <c r="C491" s="7" t="n"/>
      <c r="D491">
        <f>IF(B491="","",IFERROR(VLOOKUP(B491,Долги!$A$2:$B$500,2,FALSE),""))</f>
        <v/>
      </c>
    </row>
    <row r="492">
      <c r="A492" s="4" t="n"/>
      <c r="C492" s="7" t="n"/>
      <c r="D492">
        <f>IF(B492="","",IFERROR(VLOOKUP(B492,Долги!$A$2:$B$500,2,FALSE),""))</f>
        <v/>
      </c>
    </row>
    <row r="493">
      <c r="A493" s="4" t="n"/>
      <c r="C493" s="7" t="n"/>
      <c r="D493">
        <f>IF(B493="","",IFERROR(VLOOKUP(B493,Долги!$A$2:$B$500,2,FALSE),""))</f>
        <v/>
      </c>
    </row>
    <row r="494">
      <c r="A494" s="4" t="n"/>
      <c r="C494" s="7" t="n"/>
      <c r="D494">
        <f>IF(B494="","",IFERROR(VLOOKUP(B494,Долги!$A$2:$B$500,2,FALSE),""))</f>
        <v/>
      </c>
    </row>
    <row r="495">
      <c r="A495" s="4" t="n"/>
      <c r="C495" s="7" t="n"/>
      <c r="D495">
        <f>IF(B495="","",IFERROR(VLOOKUP(B495,Долги!$A$2:$B$500,2,FALSE),""))</f>
        <v/>
      </c>
    </row>
    <row r="496">
      <c r="A496" s="4" t="n"/>
      <c r="C496" s="7" t="n"/>
      <c r="D496">
        <f>IF(B496="","",IFERROR(VLOOKUP(B496,Долги!$A$2:$B$500,2,FALSE),""))</f>
        <v/>
      </c>
    </row>
    <row r="497">
      <c r="A497" s="4" t="n"/>
      <c r="C497" s="7" t="n"/>
      <c r="D497">
        <f>IF(B497="","",IFERROR(VLOOKUP(B497,Долги!$A$2:$B$500,2,FALSE),""))</f>
        <v/>
      </c>
    </row>
    <row r="498">
      <c r="A498" s="4" t="n"/>
      <c r="C498" s="7" t="n"/>
      <c r="D498">
        <f>IF(B498="","",IFERROR(VLOOKUP(B498,Долги!$A$2:$B$500,2,FALSE),""))</f>
        <v/>
      </c>
    </row>
    <row r="499">
      <c r="A499" s="4" t="n"/>
      <c r="C499" s="7" t="n"/>
      <c r="D499">
        <f>IF(B499="","",IFERROR(VLOOKUP(B499,Долги!$A$2:$B$500,2,FALSE),""))</f>
        <v/>
      </c>
    </row>
    <row r="500">
      <c r="A500" s="4" t="n"/>
      <c r="C500" s="7" t="n"/>
      <c r="D500">
        <f>IF(B500="","",IFERROR(VLOOKUP(B500,Долги!$A$2:$B$500,2,FALSE),""))</f>
        <v/>
      </c>
    </row>
  </sheetData>
  <dataValidations count="1">
    <dataValidation sqref="B2:B500" showDropDown="0" showInputMessage="0" showErrorMessage="0" allowBlank="1" type="list">
      <formula1>=Долги!$A$2:$A$500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6" customWidth="1" min="4" max="4"/>
    <col width="22" customWidth="1" min="5" max="5"/>
    <col width="13" customWidth="1" min="6" max="6"/>
    <col width="30" customWidth="1" min="7" max="7"/>
  </cols>
  <sheetData>
    <row r="1">
      <c r="A1" s="1" t="inlineStr">
        <is>
          <t>Дата покупки</t>
        </is>
      </c>
      <c r="B1" s="1" t="inlineStr">
        <is>
          <t>Инструмент</t>
        </is>
      </c>
      <c r="C1" s="1" t="inlineStr">
        <is>
          <t>Тип</t>
        </is>
      </c>
      <c r="D1" s="1" t="inlineStr">
        <is>
          <t>Вложено (€)</t>
        </is>
      </c>
      <c r="E1" s="1" t="inlineStr">
        <is>
          <t>Текущая стоимость (€)</t>
        </is>
      </c>
      <c r="F1" s="1" t="inlineStr">
        <is>
          <t>Доходность</t>
        </is>
      </c>
      <c r="G1" s="1" t="inlineStr">
        <is>
          <t>Комментарий</t>
        </is>
      </c>
    </row>
    <row r="2">
      <c r="A2" s="4" t="n"/>
      <c r="D2" s="7" t="n"/>
      <c r="E2" s="7" t="n"/>
      <c r="F2" s="10">
        <f>IF(OR(D2="",D2=0),"",(E2-D2)/D2)</f>
        <v/>
      </c>
    </row>
    <row r="3">
      <c r="A3" s="4" t="n"/>
      <c r="D3" s="7" t="n"/>
      <c r="E3" s="7" t="n"/>
      <c r="F3" s="10">
        <f>IF(OR(D3="",D3=0),"",(E3-D3)/D3)</f>
        <v/>
      </c>
    </row>
    <row r="4">
      <c r="A4" s="4" t="n"/>
      <c r="D4" s="7" t="n"/>
      <c r="E4" s="7" t="n"/>
      <c r="F4" s="10">
        <f>IF(OR(D4="",D4=0),"",(E4-D4)/D4)</f>
        <v/>
      </c>
    </row>
    <row r="5">
      <c r="A5" s="4" t="n"/>
      <c r="D5" s="7" t="n"/>
      <c r="E5" s="7" t="n"/>
      <c r="F5" s="10">
        <f>IF(OR(D5="",D5=0),"",(E5-D5)/D5)</f>
        <v/>
      </c>
    </row>
    <row r="6">
      <c r="A6" s="4" t="n"/>
      <c r="D6" s="7" t="n"/>
      <c r="E6" s="7" t="n"/>
      <c r="F6" s="10">
        <f>IF(OR(D6="",D6=0),"",(E6-D6)/D6)</f>
        <v/>
      </c>
    </row>
    <row r="7">
      <c r="A7" s="4" t="n"/>
      <c r="D7" s="7" t="n"/>
      <c r="E7" s="7" t="n"/>
      <c r="F7" s="10">
        <f>IF(OR(D7="",D7=0),"",(E7-D7)/D7)</f>
        <v/>
      </c>
    </row>
    <row r="8">
      <c r="A8" s="4" t="n"/>
      <c r="D8" s="7" t="n"/>
      <c r="E8" s="7" t="n"/>
      <c r="F8" s="10">
        <f>IF(OR(D8="",D8=0),"",(E8-D8)/D8)</f>
        <v/>
      </c>
    </row>
    <row r="9">
      <c r="A9" s="4" t="n"/>
      <c r="D9" s="7" t="n"/>
      <c r="E9" s="7" t="n"/>
      <c r="F9" s="10">
        <f>IF(OR(D9="",D9=0),"",(E9-D9)/D9)</f>
        <v/>
      </c>
    </row>
    <row r="10">
      <c r="A10" s="4" t="n"/>
      <c r="D10" s="7" t="n"/>
      <c r="E10" s="7" t="n"/>
      <c r="F10" s="10">
        <f>IF(OR(D10="",D10=0),"",(E10-D10)/D10)</f>
        <v/>
      </c>
    </row>
    <row r="11">
      <c r="A11" s="4" t="n"/>
      <c r="D11" s="7" t="n"/>
      <c r="E11" s="7" t="n"/>
      <c r="F11" s="10">
        <f>IF(OR(D11="",D11=0),"",(E11-D11)/D11)</f>
        <v/>
      </c>
    </row>
    <row r="12">
      <c r="A12" s="4" t="n"/>
      <c r="D12" s="7" t="n"/>
      <c r="E12" s="7" t="n"/>
      <c r="F12" s="10">
        <f>IF(OR(D12="",D12=0),"",(E12-D12)/D12)</f>
        <v/>
      </c>
    </row>
    <row r="13">
      <c r="A13" s="4" t="n"/>
      <c r="D13" s="7" t="n"/>
      <c r="E13" s="7" t="n"/>
      <c r="F13" s="10">
        <f>IF(OR(D13="",D13=0),"",(E13-D13)/D13)</f>
        <v/>
      </c>
    </row>
    <row r="14">
      <c r="A14" s="4" t="n"/>
      <c r="D14" s="7" t="n"/>
      <c r="E14" s="7" t="n"/>
      <c r="F14" s="10">
        <f>IF(OR(D14="",D14=0),"",(E14-D14)/D14)</f>
        <v/>
      </c>
    </row>
    <row r="15">
      <c r="A15" s="4" t="n"/>
      <c r="D15" s="7" t="n"/>
      <c r="E15" s="7" t="n"/>
      <c r="F15" s="10">
        <f>IF(OR(D15="",D15=0),"",(E15-D15)/D15)</f>
        <v/>
      </c>
    </row>
    <row r="16">
      <c r="A16" s="4" t="n"/>
      <c r="D16" s="7" t="n"/>
      <c r="E16" s="7" t="n"/>
      <c r="F16" s="10">
        <f>IF(OR(D16="",D16=0),"",(E16-D16)/D16)</f>
        <v/>
      </c>
    </row>
    <row r="17">
      <c r="A17" s="4" t="n"/>
      <c r="D17" s="7" t="n"/>
      <c r="E17" s="7" t="n"/>
      <c r="F17" s="10">
        <f>IF(OR(D17="",D17=0),"",(E17-D17)/D17)</f>
        <v/>
      </c>
    </row>
    <row r="18">
      <c r="A18" s="4" t="n"/>
      <c r="D18" s="7" t="n"/>
      <c r="E18" s="7" t="n"/>
      <c r="F18" s="10">
        <f>IF(OR(D18="",D18=0),"",(E18-D18)/D18)</f>
        <v/>
      </c>
    </row>
    <row r="19">
      <c r="A19" s="4" t="n"/>
      <c r="D19" s="7" t="n"/>
      <c r="E19" s="7" t="n"/>
      <c r="F19" s="10">
        <f>IF(OR(D19="",D19=0),"",(E19-D19)/D19)</f>
        <v/>
      </c>
    </row>
    <row r="20">
      <c r="A20" s="4" t="n"/>
      <c r="D20" s="7" t="n"/>
      <c r="E20" s="7" t="n"/>
      <c r="F20" s="10">
        <f>IF(OR(D20="",D20=0),"",(E20-D20)/D20)</f>
        <v/>
      </c>
    </row>
    <row r="21">
      <c r="A21" s="4" t="n"/>
      <c r="D21" s="7" t="n"/>
      <c r="E21" s="7" t="n"/>
      <c r="F21" s="10">
        <f>IF(OR(D21="",D21=0),"",(E21-D21)/D21)</f>
        <v/>
      </c>
    </row>
    <row r="22">
      <c r="A22" s="4" t="n"/>
      <c r="D22" s="7" t="n"/>
      <c r="E22" s="7" t="n"/>
      <c r="F22" s="10">
        <f>IF(OR(D22="",D22=0),"",(E22-D22)/D22)</f>
        <v/>
      </c>
    </row>
    <row r="23">
      <c r="A23" s="4" t="n"/>
      <c r="D23" s="7" t="n"/>
      <c r="E23" s="7" t="n"/>
      <c r="F23" s="10">
        <f>IF(OR(D23="",D23=0),"",(E23-D23)/D23)</f>
        <v/>
      </c>
    </row>
    <row r="24">
      <c r="A24" s="4" t="n"/>
      <c r="D24" s="7" t="n"/>
      <c r="E24" s="7" t="n"/>
      <c r="F24" s="10">
        <f>IF(OR(D24="",D24=0),"",(E24-D24)/D24)</f>
        <v/>
      </c>
    </row>
    <row r="25">
      <c r="A25" s="4" t="n"/>
      <c r="D25" s="7" t="n"/>
      <c r="E25" s="7" t="n"/>
      <c r="F25" s="10">
        <f>IF(OR(D25="",D25=0),"",(E25-D25)/D25)</f>
        <v/>
      </c>
    </row>
    <row r="26">
      <c r="A26" s="4" t="n"/>
      <c r="D26" s="7" t="n"/>
      <c r="E26" s="7" t="n"/>
      <c r="F26" s="10">
        <f>IF(OR(D26="",D26=0),"",(E26-D26)/D26)</f>
        <v/>
      </c>
    </row>
    <row r="27">
      <c r="A27" s="4" t="n"/>
      <c r="D27" s="7" t="n"/>
      <c r="E27" s="7" t="n"/>
      <c r="F27" s="10">
        <f>IF(OR(D27="",D27=0),"",(E27-D27)/D27)</f>
        <v/>
      </c>
    </row>
    <row r="28">
      <c r="A28" s="4" t="n"/>
      <c r="D28" s="7" t="n"/>
      <c r="E28" s="7" t="n"/>
      <c r="F28" s="10">
        <f>IF(OR(D28="",D28=0),"",(E28-D28)/D28)</f>
        <v/>
      </c>
    </row>
    <row r="29">
      <c r="A29" s="4" t="n"/>
      <c r="D29" s="7" t="n"/>
      <c r="E29" s="7" t="n"/>
      <c r="F29" s="10">
        <f>IF(OR(D29="",D29=0),"",(E29-D29)/D29)</f>
        <v/>
      </c>
    </row>
    <row r="30">
      <c r="A30" s="4" t="n"/>
      <c r="D30" s="7" t="n"/>
      <c r="E30" s="7" t="n"/>
      <c r="F30" s="10">
        <f>IF(OR(D30="",D30=0),"",(E30-D30)/D30)</f>
        <v/>
      </c>
    </row>
    <row r="31">
      <c r="A31" s="4" t="n"/>
      <c r="D31" s="7" t="n"/>
      <c r="E31" s="7" t="n"/>
      <c r="F31" s="10">
        <f>IF(OR(D31="",D31=0),"",(E31-D31)/D31)</f>
        <v/>
      </c>
    </row>
    <row r="32">
      <c r="A32" s="4" t="n"/>
      <c r="D32" s="7" t="n"/>
      <c r="E32" s="7" t="n"/>
      <c r="F32" s="10">
        <f>IF(OR(D32="",D32=0),"",(E32-D32)/D32)</f>
        <v/>
      </c>
    </row>
    <row r="33">
      <c r="A33" s="4" t="n"/>
      <c r="D33" s="7" t="n"/>
      <c r="E33" s="7" t="n"/>
      <c r="F33" s="10">
        <f>IF(OR(D33="",D33=0),"",(E33-D33)/D33)</f>
        <v/>
      </c>
    </row>
    <row r="34">
      <c r="A34" s="4" t="n"/>
      <c r="D34" s="7" t="n"/>
      <c r="E34" s="7" t="n"/>
      <c r="F34" s="10">
        <f>IF(OR(D34="",D34=0),"",(E34-D34)/D34)</f>
        <v/>
      </c>
    </row>
    <row r="35">
      <c r="A35" s="4" t="n"/>
      <c r="D35" s="7" t="n"/>
      <c r="E35" s="7" t="n"/>
      <c r="F35" s="10">
        <f>IF(OR(D35="",D35=0),"",(E35-D35)/D35)</f>
        <v/>
      </c>
    </row>
    <row r="36">
      <c r="A36" s="4" t="n"/>
      <c r="D36" s="7" t="n"/>
      <c r="E36" s="7" t="n"/>
      <c r="F36" s="10">
        <f>IF(OR(D36="",D36=0),"",(E36-D36)/D36)</f>
        <v/>
      </c>
    </row>
    <row r="37">
      <c r="A37" s="4" t="n"/>
      <c r="D37" s="7" t="n"/>
      <c r="E37" s="7" t="n"/>
      <c r="F37" s="10">
        <f>IF(OR(D37="",D37=0),"",(E37-D37)/D37)</f>
        <v/>
      </c>
    </row>
    <row r="38">
      <c r="A38" s="4" t="n"/>
      <c r="D38" s="7" t="n"/>
      <c r="E38" s="7" t="n"/>
      <c r="F38" s="10">
        <f>IF(OR(D38="",D38=0),"",(E38-D38)/D38)</f>
        <v/>
      </c>
    </row>
    <row r="39">
      <c r="A39" s="4" t="n"/>
      <c r="D39" s="7" t="n"/>
      <c r="E39" s="7" t="n"/>
      <c r="F39" s="10">
        <f>IF(OR(D39="",D39=0),"",(E39-D39)/D39)</f>
        <v/>
      </c>
    </row>
    <row r="40">
      <c r="A40" s="4" t="n"/>
      <c r="D40" s="7" t="n"/>
      <c r="E40" s="7" t="n"/>
      <c r="F40" s="10">
        <f>IF(OR(D40="",D40=0),"",(E40-D40)/D40)</f>
        <v/>
      </c>
    </row>
    <row r="41">
      <c r="A41" s="4" t="n"/>
      <c r="D41" s="7" t="n"/>
      <c r="E41" s="7" t="n"/>
      <c r="F41" s="10">
        <f>IF(OR(D41="",D41=0),"",(E41-D41)/D41)</f>
        <v/>
      </c>
    </row>
    <row r="42">
      <c r="A42" s="4" t="n"/>
      <c r="D42" s="7" t="n"/>
      <c r="E42" s="7" t="n"/>
      <c r="F42" s="10">
        <f>IF(OR(D42="",D42=0),"",(E42-D42)/D42)</f>
        <v/>
      </c>
    </row>
    <row r="43">
      <c r="A43" s="4" t="n"/>
      <c r="D43" s="7" t="n"/>
      <c r="E43" s="7" t="n"/>
      <c r="F43" s="10">
        <f>IF(OR(D43="",D43=0),"",(E43-D43)/D43)</f>
        <v/>
      </c>
    </row>
    <row r="44">
      <c r="A44" s="4" t="n"/>
      <c r="D44" s="7" t="n"/>
      <c r="E44" s="7" t="n"/>
      <c r="F44" s="10">
        <f>IF(OR(D44="",D44=0),"",(E44-D44)/D44)</f>
        <v/>
      </c>
    </row>
    <row r="45">
      <c r="A45" s="4" t="n"/>
      <c r="D45" s="7" t="n"/>
      <c r="E45" s="7" t="n"/>
      <c r="F45" s="10">
        <f>IF(OR(D45="",D45=0),"",(E45-D45)/D45)</f>
        <v/>
      </c>
    </row>
    <row r="46">
      <c r="A46" s="4" t="n"/>
      <c r="D46" s="7" t="n"/>
      <c r="E46" s="7" t="n"/>
      <c r="F46" s="10">
        <f>IF(OR(D46="",D46=0),"",(E46-D46)/D46)</f>
        <v/>
      </c>
    </row>
    <row r="47">
      <c r="A47" s="4" t="n"/>
      <c r="D47" s="7" t="n"/>
      <c r="E47" s="7" t="n"/>
      <c r="F47" s="10">
        <f>IF(OR(D47="",D47=0),"",(E47-D47)/D47)</f>
        <v/>
      </c>
    </row>
    <row r="48">
      <c r="A48" s="4" t="n"/>
      <c r="D48" s="7" t="n"/>
      <c r="E48" s="7" t="n"/>
      <c r="F48" s="10">
        <f>IF(OR(D48="",D48=0),"",(E48-D48)/D48)</f>
        <v/>
      </c>
    </row>
    <row r="49">
      <c r="A49" s="4" t="n"/>
      <c r="D49" s="7" t="n"/>
      <c r="E49" s="7" t="n"/>
      <c r="F49" s="10">
        <f>IF(OR(D49="",D49=0),"",(E49-D49)/D49)</f>
        <v/>
      </c>
    </row>
    <row r="50">
      <c r="A50" s="4" t="n"/>
      <c r="D50" s="7" t="n"/>
      <c r="E50" s="7" t="n"/>
      <c r="F50" s="10">
        <f>IF(OR(D50="",D50=0),"",(E50-D50)/D50)</f>
        <v/>
      </c>
    </row>
    <row r="51">
      <c r="A51" s="4" t="n"/>
      <c r="D51" s="7" t="n"/>
      <c r="E51" s="7" t="n"/>
      <c r="F51" s="10">
        <f>IF(OR(D51="",D51=0),"",(E51-D51)/D51)</f>
        <v/>
      </c>
    </row>
    <row r="52">
      <c r="A52" s="4" t="n"/>
      <c r="D52" s="7" t="n"/>
      <c r="E52" s="7" t="n"/>
      <c r="F52" s="10">
        <f>IF(OR(D52="",D52=0),"",(E52-D52)/D52)</f>
        <v/>
      </c>
    </row>
    <row r="53">
      <c r="A53" s="4" t="n"/>
      <c r="D53" s="7" t="n"/>
      <c r="E53" s="7" t="n"/>
      <c r="F53" s="10">
        <f>IF(OR(D53="",D53=0),"",(E53-D53)/D53)</f>
        <v/>
      </c>
    </row>
    <row r="54">
      <c r="A54" s="4" t="n"/>
      <c r="D54" s="7" t="n"/>
      <c r="E54" s="7" t="n"/>
      <c r="F54" s="10">
        <f>IF(OR(D54="",D54=0),"",(E54-D54)/D54)</f>
        <v/>
      </c>
    </row>
    <row r="55">
      <c r="A55" s="4" t="n"/>
      <c r="D55" s="7" t="n"/>
      <c r="E55" s="7" t="n"/>
      <c r="F55" s="10">
        <f>IF(OR(D55="",D55=0),"",(E55-D55)/D55)</f>
        <v/>
      </c>
    </row>
    <row r="56">
      <c r="A56" s="4" t="n"/>
      <c r="D56" s="7" t="n"/>
      <c r="E56" s="7" t="n"/>
      <c r="F56" s="10">
        <f>IF(OR(D56="",D56=0),"",(E56-D56)/D56)</f>
        <v/>
      </c>
    </row>
    <row r="57">
      <c r="A57" s="4" t="n"/>
      <c r="D57" s="7" t="n"/>
      <c r="E57" s="7" t="n"/>
      <c r="F57" s="10">
        <f>IF(OR(D57="",D57=0),"",(E57-D57)/D57)</f>
        <v/>
      </c>
    </row>
    <row r="58">
      <c r="A58" s="4" t="n"/>
      <c r="D58" s="7" t="n"/>
      <c r="E58" s="7" t="n"/>
      <c r="F58" s="10">
        <f>IF(OR(D58="",D58=0),"",(E58-D58)/D58)</f>
        <v/>
      </c>
    </row>
    <row r="59">
      <c r="A59" s="4" t="n"/>
      <c r="D59" s="7" t="n"/>
      <c r="E59" s="7" t="n"/>
      <c r="F59" s="10">
        <f>IF(OR(D59="",D59=0),"",(E59-D59)/D59)</f>
        <v/>
      </c>
    </row>
    <row r="60">
      <c r="A60" s="4" t="n"/>
      <c r="D60" s="7" t="n"/>
      <c r="E60" s="7" t="n"/>
      <c r="F60" s="10">
        <f>IF(OR(D60="",D60=0),"",(E60-D60)/D60)</f>
        <v/>
      </c>
    </row>
    <row r="61">
      <c r="A61" s="4" t="n"/>
      <c r="D61" s="7" t="n"/>
      <c r="E61" s="7" t="n"/>
      <c r="F61" s="10">
        <f>IF(OR(D61="",D61=0),"",(E61-D61)/D61)</f>
        <v/>
      </c>
    </row>
    <row r="62">
      <c r="A62" s="4" t="n"/>
      <c r="D62" s="7" t="n"/>
      <c r="E62" s="7" t="n"/>
      <c r="F62" s="10">
        <f>IF(OR(D62="",D62=0),"",(E62-D62)/D62)</f>
        <v/>
      </c>
    </row>
    <row r="63">
      <c r="A63" s="4" t="n"/>
      <c r="D63" s="7" t="n"/>
      <c r="E63" s="7" t="n"/>
      <c r="F63" s="10">
        <f>IF(OR(D63="",D63=0),"",(E63-D63)/D63)</f>
        <v/>
      </c>
    </row>
    <row r="64">
      <c r="A64" s="4" t="n"/>
      <c r="D64" s="7" t="n"/>
      <c r="E64" s="7" t="n"/>
      <c r="F64" s="10">
        <f>IF(OR(D64="",D64=0),"",(E64-D64)/D64)</f>
        <v/>
      </c>
    </row>
    <row r="65">
      <c r="A65" s="4" t="n"/>
      <c r="D65" s="7" t="n"/>
      <c r="E65" s="7" t="n"/>
      <c r="F65" s="10">
        <f>IF(OR(D65="",D65=0),"",(E65-D65)/D65)</f>
        <v/>
      </c>
    </row>
    <row r="66">
      <c r="A66" s="4" t="n"/>
      <c r="D66" s="7" t="n"/>
      <c r="E66" s="7" t="n"/>
      <c r="F66" s="10">
        <f>IF(OR(D66="",D66=0),"",(E66-D66)/D66)</f>
        <v/>
      </c>
    </row>
    <row r="67">
      <c r="A67" s="4" t="n"/>
      <c r="D67" s="7" t="n"/>
      <c r="E67" s="7" t="n"/>
      <c r="F67" s="10">
        <f>IF(OR(D67="",D67=0),"",(E67-D67)/D67)</f>
        <v/>
      </c>
    </row>
    <row r="68">
      <c r="A68" s="4" t="n"/>
      <c r="D68" s="7" t="n"/>
      <c r="E68" s="7" t="n"/>
      <c r="F68" s="10">
        <f>IF(OR(D68="",D68=0),"",(E68-D68)/D68)</f>
        <v/>
      </c>
    </row>
    <row r="69">
      <c r="A69" s="4" t="n"/>
      <c r="D69" s="7" t="n"/>
      <c r="E69" s="7" t="n"/>
      <c r="F69" s="10">
        <f>IF(OR(D69="",D69=0),"",(E69-D69)/D69)</f>
        <v/>
      </c>
    </row>
    <row r="70">
      <c r="A70" s="4" t="n"/>
      <c r="D70" s="7" t="n"/>
      <c r="E70" s="7" t="n"/>
      <c r="F70" s="10">
        <f>IF(OR(D70="",D70=0),"",(E70-D70)/D70)</f>
        <v/>
      </c>
    </row>
    <row r="71">
      <c r="A71" s="4" t="n"/>
      <c r="D71" s="7" t="n"/>
      <c r="E71" s="7" t="n"/>
      <c r="F71" s="10">
        <f>IF(OR(D71="",D71=0),"",(E71-D71)/D71)</f>
        <v/>
      </c>
    </row>
    <row r="72">
      <c r="A72" s="4" t="n"/>
      <c r="D72" s="7" t="n"/>
      <c r="E72" s="7" t="n"/>
      <c r="F72" s="10">
        <f>IF(OR(D72="",D72=0),"",(E72-D72)/D72)</f>
        <v/>
      </c>
    </row>
    <row r="73">
      <c r="A73" s="4" t="n"/>
      <c r="D73" s="7" t="n"/>
      <c r="E73" s="7" t="n"/>
      <c r="F73" s="10">
        <f>IF(OR(D73="",D73=0),"",(E73-D73)/D73)</f>
        <v/>
      </c>
    </row>
    <row r="74">
      <c r="A74" s="4" t="n"/>
      <c r="D74" s="7" t="n"/>
      <c r="E74" s="7" t="n"/>
      <c r="F74" s="10">
        <f>IF(OR(D74="",D74=0),"",(E74-D74)/D74)</f>
        <v/>
      </c>
    </row>
    <row r="75">
      <c r="A75" s="4" t="n"/>
      <c r="D75" s="7" t="n"/>
      <c r="E75" s="7" t="n"/>
      <c r="F75" s="10">
        <f>IF(OR(D75="",D75=0),"",(E75-D75)/D75)</f>
        <v/>
      </c>
    </row>
    <row r="76">
      <c r="A76" s="4" t="n"/>
      <c r="D76" s="7" t="n"/>
      <c r="E76" s="7" t="n"/>
      <c r="F76" s="10">
        <f>IF(OR(D76="",D76=0),"",(E76-D76)/D76)</f>
        <v/>
      </c>
    </row>
    <row r="77">
      <c r="A77" s="4" t="n"/>
      <c r="D77" s="7" t="n"/>
      <c r="E77" s="7" t="n"/>
      <c r="F77" s="10">
        <f>IF(OR(D77="",D77=0),"",(E77-D77)/D77)</f>
        <v/>
      </c>
    </row>
    <row r="78">
      <c r="A78" s="4" t="n"/>
      <c r="D78" s="7" t="n"/>
      <c r="E78" s="7" t="n"/>
      <c r="F78" s="10">
        <f>IF(OR(D78="",D78=0),"",(E78-D78)/D78)</f>
        <v/>
      </c>
    </row>
    <row r="79">
      <c r="A79" s="4" t="n"/>
      <c r="D79" s="7" t="n"/>
      <c r="E79" s="7" t="n"/>
      <c r="F79" s="10">
        <f>IF(OR(D79="",D79=0),"",(E79-D79)/D79)</f>
        <v/>
      </c>
    </row>
    <row r="80">
      <c r="A80" s="4" t="n"/>
      <c r="D80" s="7" t="n"/>
      <c r="E80" s="7" t="n"/>
      <c r="F80" s="10">
        <f>IF(OR(D80="",D80=0),"",(E80-D80)/D80)</f>
        <v/>
      </c>
    </row>
    <row r="81">
      <c r="A81" s="4" t="n"/>
      <c r="D81" s="7" t="n"/>
      <c r="E81" s="7" t="n"/>
      <c r="F81" s="10">
        <f>IF(OR(D81="",D81=0),"",(E81-D81)/D81)</f>
        <v/>
      </c>
    </row>
    <row r="82">
      <c r="A82" s="4" t="n"/>
      <c r="D82" s="7" t="n"/>
      <c r="E82" s="7" t="n"/>
      <c r="F82" s="10">
        <f>IF(OR(D82="",D82=0),"",(E82-D82)/D82)</f>
        <v/>
      </c>
    </row>
    <row r="83">
      <c r="A83" s="4" t="n"/>
      <c r="D83" s="7" t="n"/>
      <c r="E83" s="7" t="n"/>
      <c r="F83" s="10">
        <f>IF(OR(D83="",D83=0),"",(E83-D83)/D83)</f>
        <v/>
      </c>
    </row>
    <row r="84">
      <c r="A84" s="4" t="n"/>
      <c r="D84" s="7" t="n"/>
      <c r="E84" s="7" t="n"/>
      <c r="F84" s="10">
        <f>IF(OR(D84="",D84=0),"",(E84-D84)/D84)</f>
        <v/>
      </c>
    </row>
    <row r="85">
      <c r="A85" s="4" t="n"/>
      <c r="D85" s="7" t="n"/>
      <c r="E85" s="7" t="n"/>
      <c r="F85" s="10">
        <f>IF(OR(D85="",D85=0),"",(E85-D85)/D85)</f>
        <v/>
      </c>
    </row>
    <row r="86">
      <c r="A86" s="4" t="n"/>
      <c r="D86" s="7" t="n"/>
      <c r="E86" s="7" t="n"/>
      <c r="F86" s="10">
        <f>IF(OR(D86="",D86=0),"",(E86-D86)/D86)</f>
        <v/>
      </c>
    </row>
    <row r="87">
      <c r="A87" s="4" t="n"/>
      <c r="D87" s="7" t="n"/>
      <c r="E87" s="7" t="n"/>
      <c r="F87" s="10">
        <f>IF(OR(D87="",D87=0),"",(E87-D87)/D87)</f>
        <v/>
      </c>
    </row>
    <row r="88">
      <c r="A88" s="4" t="n"/>
      <c r="D88" s="7" t="n"/>
      <c r="E88" s="7" t="n"/>
      <c r="F88" s="10">
        <f>IF(OR(D88="",D88=0),"",(E88-D88)/D88)</f>
        <v/>
      </c>
    </row>
    <row r="89">
      <c r="A89" s="4" t="n"/>
      <c r="D89" s="7" t="n"/>
      <c r="E89" s="7" t="n"/>
      <c r="F89" s="10">
        <f>IF(OR(D89="",D89=0),"",(E89-D89)/D89)</f>
        <v/>
      </c>
    </row>
    <row r="90">
      <c r="A90" s="4" t="n"/>
      <c r="D90" s="7" t="n"/>
      <c r="E90" s="7" t="n"/>
      <c r="F90" s="10">
        <f>IF(OR(D90="",D90=0),"",(E90-D90)/D90)</f>
        <v/>
      </c>
    </row>
    <row r="91">
      <c r="A91" s="4" t="n"/>
      <c r="D91" s="7" t="n"/>
      <c r="E91" s="7" t="n"/>
      <c r="F91" s="10">
        <f>IF(OR(D91="",D91=0),"",(E91-D91)/D91)</f>
        <v/>
      </c>
    </row>
    <row r="92">
      <c r="A92" s="4" t="n"/>
      <c r="D92" s="7" t="n"/>
      <c r="E92" s="7" t="n"/>
      <c r="F92" s="10">
        <f>IF(OR(D92="",D92=0),"",(E92-D92)/D92)</f>
        <v/>
      </c>
    </row>
    <row r="93">
      <c r="A93" s="4" t="n"/>
      <c r="D93" s="7" t="n"/>
      <c r="E93" s="7" t="n"/>
      <c r="F93" s="10">
        <f>IF(OR(D93="",D93=0),"",(E93-D93)/D93)</f>
        <v/>
      </c>
    </row>
    <row r="94">
      <c r="A94" s="4" t="n"/>
      <c r="D94" s="7" t="n"/>
      <c r="E94" s="7" t="n"/>
      <c r="F94" s="10">
        <f>IF(OR(D94="",D94=0),"",(E94-D94)/D94)</f>
        <v/>
      </c>
    </row>
    <row r="95">
      <c r="A95" s="4" t="n"/>
      <c r="D95" s="7" t="n"/>
      <c r="E95" s="7" t="n"/>
      <c r="F95" s="10">
        <f>IF(OR(D95="",D95=0),"",(E95-D95)/D95)</f>
        <v/>
      </c>
    </row>
    <row r="96">
      <c r="A96" s="4" t="n"/>
      <c r="D96" s="7" t="n"/>
      <c r="E96" s="7" t="n"/>
      <c r="F96" s="10">
        <f>IF(OR(D96="",D96=0),"",(E96-D96)/D96)</f>
        <v/>
      </c>
    </row>
    <row r="97">
      <c r="A97" s="4" t="n"/>
      <c r="D97" s="7" t="n"/>
      <c r="E97" s="7" t="n"/>
      <c r="F97" s="10">
        <f>IF(OR(D97="",D97=0),"",(E97-D97)/D97)</f>
        <v/>
      </c>
    </row>
    <row r="98">
      <c r="A98" s="4" t="n"/>
      <c r="D98" s="7" t="n"/>
      <c r="E98" s="7" t="n"/>
      <c r="F98" s="10">
        <f>IF(OR(D98="",D98=0),"",(E98-D98)/D98)</f>
        <v/>
      </c>
    </row>
    <row r="99">
      <c r="A99" s="4" t="n"/>
      <c r="D99" s="7" t="n"/>
      <c r="E99" s="7" t="n"/>
      <c r="F99" s="10">
        <f>IF(OR(D99="",D99=0),"",(E99-D99)/D99)</f>
        <v/>
      </c>
    </row>
    <row r="100">
      <c r="A100" s="4" t="n"/>
      <c r="D100" s="7" t="n"/>
      <c r="E100" s="7" t="n"/>
      <c r="F100" s="10">
        <f>IF(OR(D100="",D100=0),"",(E100-D100)/D100)</f>
        <v/>
      </c>
    </row>
    <row r="101">
      <c r="A101" s="4" t="n"/>
      <c r="D101" s="7" t="n"/>
      <c r="E101" s="7" t="n"/>
      <c r="F101" s="10">
        <f>IF(OR(D101="",D101=0),"",(E101-D101)/D101)</f>
        <v/>
      </c>
    </row>
    <row r="102">
      <c r="A102" s="4" t="n"/>
      <c r="D102" s="7" t="n"/>
      <c r="E102" s="7" t="n"/>
      <c r="F102" s="10">
        <f>IF(OR(D102="",D102=0),"",(E102-D102)/D102)</f>
        <v/>
      </c>
    </row>
    <row r="103">
      <c r="A103" s="4" t="n"/>
      <c r="D103" s="7" t="n"/>
      <c r="E103" s="7" t="n"/>
      <c r="F103" s="10">
        <f>IF(OR(D103="",D103=0),"",(E103-D103)/D103)</f>
        <v/>
      </c>
    </row>
    <row r="104">
      <c r="A104" s="4" t="n"/>
      <c r="D104" s="7" t="n"/>
      <c r="E104" s="7" t="n"/>
      <c r="F104" s="10">
        <f>IF(OR(D104="",D104=0),"",(E104-D104)/D104)</f>
        <v/>
      </c>
    </row>
    <row r="105">
      <c r="A105" s="4" t="n"/>
      <c r="D105" s="7" t="n"/>
      <c r="E105" s="7" t="n"/>
      <c r="F105" s="10">
        <f>IF(OR(D105="",D105=0),"",(E105-D105)/D105)</f>
        <v/>
      </c>
    </row>
    <row r="106">
      <c r="A106" s="4" t="n"/>
      <c r="D106" s="7" t="n"/>
      <c r="E106" s="7" t="n"/>
      <c r="F106" s="10">
        <f>IF(OR(D106="",D106=0),"",(E106-D106)/D106)</f>
        <v/>
      </c>
    </row>
    <row r="107">
      <c r="A107" s="4" t="n"/>
      <c r="D107" s="7" t="n"/>
      <c r="E107" s="7" t="n"/>
      <c r="F107" s="10">
        <f>IF(OR(D107="",D107=0),"",(E107-D107)/D107)</f>
        <v/>
      </c>
    </row>
    <row r="108">
      <c r="A108" s="4" t="n"/>
      <c r="D108" s="7" t="n"/>
      <c r="E108" s="7" t="n"/>
      <c r="F108" s="10">
        <f>IF(OR(D108="",D108=0),"",(E108-D108)/D108)</f>
        <v/>
      </c>
    </row>
    <row r="109">
      <c r="A109" s="4" t="n"/>
      <c r="D109" s="7" t="n"/>
      <c r="E109" s="7" t="n"/>
      <c r="F109" s="10">
        <f>IF(OR(D109="",D109=0),"",(E109-D109)/D109)</f>
        <v/>
      </c>
    </row>
    <row r="110">
      <c r="A110" s="4" t="n"/>
      <c r="D110" s="7" t="n"/>
      <c r="E110" s="7" t="n"/>
      <c r="F110" s="10">
        <f>IF(OR(D110="",D110=0),"",(E110-D110)/D110)</f>
        <v/>
      </c>
    </row>
    <row r="111">
      <c r="A111" s="4" t="n"/>
      <c r="D111" s="7" t="n"/>
      <c r="E111" s="7" t="n"/>
      <c r="F111" s="10">
        <f>IF(OR(D111="",D111=0),"",(E111-D111)/D111)</f>
        <v/>
      </c>
    </row>
    <row r="112">
      <c r="A112" s="4" t="n"/>
      <c r="D112" s="7" t="n"/>
      <c r="E112" s="7" t="n"/>
      <c r="F112" s="10">
        <f>IF(OR(D112="",D112=0),"",(E112-D112)/D112)</f>
        <v/>
      </c>
    </row>
    <row r="113">
      <c r="A113" s="4" t="n"/>
      <c r="D113" s="7" t="n"/>
      <c r="E113" s="7" t="n"/>
      <c r="F113" s="10">
        <f>IF(OR(D113="",D113=0),"",(E113-D113)/D113)</f>
        <v/>
      </c>
    </row>
    <row r="114">
      <c r="A114" s="4" t="n"/>
      <c r="D114" s="7" t="n"/>
      <c r="E114" s="7" t="n"/>
      <c r="F114" s="10">
        <f>IF(OR(D114="",D114=0),"",(E114-D114)/D114)</f>
        <v/>
      </c>
    </row>
    <row r="115">
      <c r="A115" s="4" t="n"/>
      <c r="D115" s="7" t="n"/>
      <c r="E115" s="7" t="n"/>
      <c r="F115" s="10">
        <f>IF(OR(D115="",D115=0),"",(E115-D115)/D115)</f>
        <v/>
      </c>
    </row>
    <row r="116">
      <c r="A116" s="4" t="n"/>
      <c r="D116" s="7" t="n"/>
      <c r="E116" s="7" t="n"/>
      <c r="F116" s="10">
        <f>IF(OR(D116="",D116=0),"",(E116-D116)/D116)</f>
        <v/>
      </c>
    </row>
    <row r="117">
      <c r="A117" s="4" t="n"/>
      <c r="D117" s="7" t="n"/>
      <c r="E117" s="7" t="n"/>
      <c r="F117" s="10">
        <f>IF(OR(D117="",D117=0),"",(E117-D117)/D117)</f>
        <v/>
      </c>
    </row>
    <row r="118">
      <c r="A118" s="4" t="n"/>
      <c r="D118" s="7" t="n"/>
      <c r="E118" s="7" t="n"/>
      <c r="F118" s="10">
        <f>IF(OR(D118="",D118=0),"",(E118-D118)/D118)</f>
        <v/>
      </c>
    </row>
    <row r="119">
      <c r="A119" s="4" t="n"/>
      <c r="D119" s="7" t="n"/>
      <c r="E119" s="7" t="n"/>
      <c r="F119" s="10">
        <f>IF(OR(D119="",D119=0),"",(E119-D119)/D119)</f>
        <v/>
      </c>
    </row>
    <row r="120">
      <c r="A120" s="4" t="n"/>
      <c r="D120" s="7" t="n"/>
      <c r="E120" s="7" t="n"/>
      <c r="F120" s="10">
        <f>IF(OR(D120="",D120=0),"",(E120-D120)/D120)</f>
        <v/>
      </c>
    </row>
    <row r="121">
      <c r="A121" s="4" t="n"/>
      <c r="D121" s="7" t="n"/>
      <c r="E121" s="7" t="n"/>
      <c r="F121" s="10">
        <f>IF(OR(D121="",D121=0),"",(E121-D121)/D121)</f>
        <v/>
      </c>
    </row>
    <row r="122">
      <c r="A122" s="4" t="n"/>
      <c r="D122" s="7" t="n"/>
      <c r="E122" s="7" t="n"/>
      <c r="F122" s="10">
        <f>IF(OR(D122="",D122=0),"",(E122-D122)/D122)</f>
        <v/>
      </c>
    </row>
    <row r="123">
      <c r="A123" s="4" t="n"/>
      <c r="D123" s="7" t="n"/>
      <c r="E123" s="7" t="n"/>
      <c r="F123" s="10">
        <f>IF(OR(D123="",D123=0),"",(E123-D123)/D123)</f>
        <v/>
      </c>
    </row>
    <row r="124">
      <c r="A124" s="4" t="n"/>
      <c r="D124" s="7" t="n"/>
      <c r="E124" s="7" t="n"/>
      <c r="F124" s="10">
        <f>IF(OR(D124="",D124=0),"",(E124-D124)/D124)</f>
        <v/>
      </c>
    </row>
    <row r="125">
      <c r="A125" s="4" t="n"/>
      <c r="D125" s="7" t="n"/>
      <c r="E125" s="7" t="n"/>
      <c r="F125" s="10">
        <f>IF(OR(D125="",D125=0),"",(E125-D125)/D125)</f>
        <v/>
      </c>
    </row>
    <row r="126">
      <c r="A126" s="4" t="n"/>
      <c r="D126" s="7" t="n"/>
      <c r="E126" s="7" t="n"/>
      <c r="F126" s="10">
        <f>IF(OR(D126="",D126=0),"",(E126-D126)/D126)</f>
        <v/>
      </c>
    </row>
    <row r="127">
      <c r="A127" s="4" t="n"/>
      <c r="D127" s="7" t="n"/>
      <c r="E127" s="7" t="n"/>
      <c r="F127" s="10">
        <f>IF(OR(D127="",D127=0),"",(E127-D127)/D127)</f>
        <v/>
      </c>
    </row>
    <row r="128">
      <c r="A128" s="4" t="n"/>
      <c r="D128" s="7" t="n"/>
      <c r="E128" s="7" t="n"/>
      <c r="F128" s="10">
        <f>IF(OR(D128="",D128=0),"",(E128-D128)/D128)</f>
        <v/>
      </c>
    </row>
    <row r="129">
      <c r="A129" s="4" t="n"/>
      <c r="D129" s="7" t="n"/>
      <c r="E129" s="7" t="n"/>
      <c r="F129" s="10">
        <f>IF(OR(D129="",D129=0),"",(E129-D129)/D129)</f>
        <v/>
      </c>
    </row>
    <row r="130">
      <c r="A130" s="4" t="n"/>
      <c r="D130" s="7" t="n"/>
      <c r="E130" s="7" t="n"/>
      <c r="F130" s="10">
        <f>IF(OR(D130="",D130=0),"",(E130-D130)/D130)</f>
        <v/>
      </c>
    </row>
    <row r="131">
      <c r="A131" s="4" t="n"/>
      <c r="D131" s="7" t="n"/>
      <c r="E131" s="7" t="n"/>
      <c r="F131" s="10">
        <f>IF(OR(D131="",D131=0),"",(E131-D131)/D131)</f>
        <v/>
      </c>
    </row>
    <row r="132">
      <c r="A132" s="4" t="n"/>
      <c r="D132" s="7" t="n"/>
      <c r="E132" s="7" t="n"/>
      <c r="F132" s="10">
        <f>IF(OR(D132="",D132=0),"",(E132-D132)/D132)</f>
        <v/>
      </c>
    </row>
    <row r="133">
      <c r="A133" s="4" t="n"/>
      <c r="D133" s="7" t="n"/>
      <c r="E133" s="7" t="n"/>
      <c r="F133" s="10">
        <f>IF(OR(D133="",D133=0),"",(E133-D133)/D133)</f>
        <v/>
      </c>
    </row>
    <row r="134">
      <c r="A134" s="4" t="n"/>
      <c r="D134" s="7" t="n"/>
      <c r="E134" s="7" t="n"/>
      <c r="F134" s="10">
        <f>IF(OR(D134="",D134=0),"",(E134-D134)/D134)</f>
        <v/>
      </c>
    </row>
    <row r="135">
      <c r="A135" s="4" t="n"/>
      <c r="D135" s="7" t="n"/>
      <c r="E135" s="7" t="n"/>
      <c r="F135" s="10">
        <f>IF(OR(D135="",D135=0),"",(E135-D135)/D135)</f>
        <v/>
      </c>
    </row>
    <row r="136">
      <c r="A136" s="4" t="n"/>
      <c r="D136" s="7" t="n"/>
      <c r="E136" s="7" t="n"/>
      <c r="F136" s="10">
        <f>IF(OR(D136="",D136=0),"",(E136-D136)/D136)</f>
        <v/>
      </c>
    </row>
    <row r="137">
      <c r="A137" s="4" t="n"/>
      <c r="D137" s="7" t="n"/>
      <c r="E137" s="7" t="n"/>
      <c r="F137" s="10">
        <f>IF(OR(D137="",D137=0),"",(E137-D137)/D137)</f>
        <v/>
      </c>
    </row>
    <row r="138">
      <c r="A138" s="4" t="n"/>
      <c r="D138" s="7" t="n"/>
      <c r="E138" s="7" t="n"/>
      <c r="F138" s="10">
        <f>IF(OR(D138="",D138=0),"",(E138-D138)/D138)</f>
        <v/>
      </c>
    </row>
    <row r="139">
      <c r="A139" s="4" t="n"/>
      <c r="D139" s="7" t="n"/>
      <c r="E139" s="7" t="n"/>
      <c r="F139" s="10">
        <f>IF(OR(D139="",D139=0),"",(E139-D139)/D139)</f>
        <v/>
      </c>
    </row>
    <row r="140">
      <c r="A140" s="4" t="n"/>
      <c r="D140" s="7" t="n"/>
      <c r="E140" s="7" t="n"/>
      <c r="F140" s="10">
        <f>IF(OR(D140="",D140=0),"",(E140-D140)/D140)</f>
        <v/>
      </c>
    </row>
    <row r="141">
      <c r="A141" s="4" t="n"/>
      <c r="D141" s="7" t="n"/>
      <c r="E141" s="7" t="n"/>
      <c r="F141" s="10">
        <f>IF(OR(D141="",D141=0),"",(E141-D141)/D141)</f>
        <v/>
      </c>
    </row>
    <row r="142">
      <c r="A142" s="4" t="n"/>
      <c r="D142" s="7" t="n"/>
      <c r="E142" s="7" t="n"/>
      <c r="F142" s="10">
        <f>IF(OR(D142="",D142=0),"",(E142-D142)/D142)</f>
        <v/>
      </c>
    </row>
    <row r="143">
      <c r="A143" s="4" t="n"/>
      <c r="D143" s="7" t="n"/>
      <c r="E143" s="7" t="n"/>
      <c r="F143" s="10">
        <f>IF(OR(D143="",D143=0),"",(E143-D143)/D143)</f>
        <v/>
      </c>
    </row>
    <row r="144">
      <c r="A144" s="4" t="n"/>
      <c r="D144" s="7" t="n"/>
      <c r="E144" s="7" t="n"/>
      <c r="F144" s="10">
        <f>IF(OR(D144="",D144=0),"",(E144-D144)/D144)</f>
        <v/>
      </c>
    </row>
    <row r="145">
      <c r="A145" s="4" t="n"/>
      <c r="D145" s="7" t="n"/>
      <c r="E145" s="7" t="n"/>
      <c r="F145" s="10">
        <f>IF(OR(D145="",D145=0),"",(E145-D145)/D145)</f>
        <v/>
      </c>
    </row>
    <row r="146">
      <c r="A146" s="4" t="n"/>
      <c r="D146" s="7" t="n"/>
      <c r="E146" s="7" t="n"/>
      <c r="F146" s="10">
        <f>IF(OR(D146="",D146=0),"",(E146-D146)/D146)</f>
        <v/>
      </c>
    </row>
    <row r="147">
      <c r="A147" s="4" t="n"/>
      <c r="D147" s="7" t="n"/>
      <c r="E147" s="7" t="n"/>
      <c r="F147" s="10">
        <f>IF(OR(D147="",D147=0),"",(E147-D147)/D147)</f>
        <v/>
      </c>
    </row>
    <row r="148">
      <c r="A148" s="4" t="n"/>
      <c r="D148" s="7" t="n"/>
      <c r="E148" s="7" t="n"/>
      <c r="F148" s="10">
        <f>IF(OR(D148="",D148=0),"",(E148-D148)/D148)</f>
        <v/>
      </c>
    </row>
    <row r="149">
      <c r="A149" s="4" t="n"/>
      <c r="D149" s="7" t="n"/>
      <c r="E149" s="7" t="n"/>
      <c r="F149" s="10">
        <f>IF(OR(D149="",D149=0),"",(E149-D149)/D149)</f>
        <v/>
      </c>
    </row>
    <row r="150">
      <c r="A150" s="4" t="n"/>
      <c r="D150" s="7" t="n"/>
      <c r="E150" s="7" t="n"/>
      <c r="F150" s="10">
        <f>IF(OR(D150="",D150=0),"",(E150-D150)/D150)</f>
        <v/>
      </c>
    </row>
    <row r="151">
      <c r="A151" s="4" t="n"/>
      <c r="D151" s="7" t="n"/>
      <c r="E151" s="7" t="n"/>
      <c r="F151" s="10">
        <f>IF(OR(D151="",D151=0),"",(E151-D151)/D151)</f>
        <v/>
      </c>
    </row>
    <row r="152">
      <c r="A152" s="4" t="n"/>
      <c r="D152" s="7" t="n"/>
      <c r="E152" s="7" t="n"/>
      <c r="F152" s="10">
        <f>IF(OR(D152="",D152=0),"",(E152-D152)/D152)</f>
        <v/>
      </c>
    </row>
    <row r="153">
      <c r="A153" s="4" t="n"/>
      <c r="D153" s="7" t="n"/>
      <c r="E153" s="7" t="n"/>
      <c r="F153" s="10">
        <f>IF(OR(D153="",D153=0),"",(E153-D153)/D153)</f>
        <v/>
      </c>
    </row>
    <row r="154">
      <c r="A154" s="4" t="n"/>
      <c r="D154" s="7" t="n"/>
      <c r="E154" s="7" t="n"/>
      <c r="F154" s="10">
        <f>IF(OR(D154="",D154=0),"",(E154-D154)/D154)</f>
        <v/>
      </c>
    </row>
    <row r="155">
      <c r="A155" s="4" t="n"/>
      <c r="D155" s="7" t="n"/>
      <c r="E155" s="7" t="n"/>
      <c r="F155" s="10">
        <f>IF(OR(D155="",D155=0),"",(E155-D155)/D155)</f>
        <v/>
      </c>
    </row>
    <row r="156">
      <c r="A156" s="4" t="n"/>
      <c r="D156" s="7" t="n"/>
      <c r="E156" s="7" t="n"/>
      <c r="F156" s="10">
        <f>IF(OR(D156="",D156=0),"",(E156-D156)/D156)</f>
        <v/>
      </c>
    </row>
    <row r="157">
      <c r="A157" s="4" t="n"/>
      <c r="D157" s="7" t="n"/>
      <c r="E157" s="7" t="n"/>
      <c r="F157" s="10">
        <f>IF(OR(D157="",D157=0),"",(E157-D157)/D157)</f>
        <v/>
      </c>
    </row>
    <row r="158">
      <c r="A158" s="4" t="n"/>
      <c r="D158" s="7" t="n"/>
      <c r="E158" s="7" t="n"/>
      <c r="F158" s="10">
        <f>IF(OR(D158="",D158=0),"",(E158-D158)/D158)</f>
        <v/>
      </c>
    </row>
    <row r="159">
      <c r="A159" s="4" t="n"/>
      <c r="D159" s="7" t="n"/>
      <c r="E159" s="7" t="n"/>
      <c r="F159" s="10">
        <f>IF(OR(D159="",D159=0),"",(E159-D159)/D159)</f>
        <v/>
      </c>
    </row>
    <row r="160">
      <c r="A160" s="4" t="n"/>
      <c r="D160" s="7" t="n"/>
      <c r="E160" s="7" t="n"/>
      <c r="F160" s="10">
        <f>IF(OR(D160="",D160=0),"",(E160-D160)/D160)</f>
        <v/>
      </c>
    </row>
    <row r="161">
      <c r="A161" s="4" t="n"/>
      <c r="D161" s="7" t="n"/>
      <c r="E161" s="7" t="n"/>
      <c r="F161" s="10">
        <f>IF(OR(D161="",D161=0),"",(E161-D161)/D161)</f>
        <v/>
      </c>
    </row>
    <row r="162">
      <c r="A162" s="4" t="n"/>
      <c r="D162" s="7" t="n"/>
      <c r="E162" s="7" t="n"/>
      <c r="F162" s="10">
        <f>IF(OR(D162="",D162=0),"",(E162-D162)/D162)</f>
        <v/>
      </c>
    </row>
    <row r="163">
      <c r="A163" s="4" t="n"/>
      <c r="D163" s="7" t="n"/>
      <c r="E163" s="7" t="n"/>
      <c r="F163" s="10">
        <f>IF(OR(D163="",D163=0),"",(E163-D163)/D163)</f>
        <v/>
      </c>
    </row>
    <row r="164">
      <c r="A164" s="4" t="n"/>
      <c r="D164" s="7" t="n"/>
      <c r="E164" s="7" t="n"/>
      <c r="F164" s="10">
        <f>IF(OR(D164="",D164=0),"",(E164-D164)/D164)</f>
        <v/>
      </c>
    </row>
    <row r="165">
      <c r="A165" s="4" t="n"/>
      <c r="D165" s="7" t="n"/>
      <c r="E165" s="7" t="n"/>
      <c r="F165" s="10">
        <f>IF(OR(D165="",D165=0),"",(E165-D165)/D165)</f>
        <v/>
      </c>
    </row>
    <row r="166">
      <c r="A166" s="4" t="n"/>
      <c r="D166" s="7" t="n"/>
      <c r="E166" s="7" t="n"/>
      <c r="F166" s="10">
        <f>IF(OR(D166="",D166=0),"",(E166-D166)/D166)</f>
        <v/>
      </c>
    </row>
    <row r="167">
      <c r="A167" s="4" t="n"/>
      <c r="D167" s="7" t="n"/>
      <c r="E167" s="7" t="n"/>
      <c r="F167" s="10">
        <f>IF(OR(D167="",D167=0),"",(E167-D167)/D167)</f>
        <v/>
      </c>
    </row>
    <row r="168">
      <c r="A168" s="4" t="n"/>
      <c r="D168" s="7" t="n"/>
      <c r="E168" s="7" t="n"/>
      <c r="F168" s="10">
        <f>IF(OR(D168="",D168=0),"",(E168-D168)/D168)</f>
        <v/>
      </c>
    </row>
    <row r="169">
      <c r="A169" s="4" t="n"/>
      <c r="D169" s="7" t="n"/>
      <c r="E169" s="7" t="n"/>
      <c r="F169" s="10">
        <f>IF(OR(D169="",D169=0),"",(E169-D169)/D169)</f>
        <v/>
      </c>
    </row>
    <row r="170">
      <c r="A170" s="4" t="n"/>
      <c r="D170" s="7" t="n"/>
      <c r="E170" s="7" t="n"/>
      <c r="F170" s="10">
        <f>IF(OR(D170="",D170=0),"",(E170-D170)/D170)</f>
        <v/>
      </c>
    </row>
    <row r="171">
      <c r="A171" s="4" t="n"/>
      <c r="D171" s="7" t="n"/>
      <c r="E171" s="7" t="n"/>
      <c r="F171" s="10">
        <f>IF(OR(D171="",D171=0),"",(E171-D171)/D171)</f>
        <v/>
      </c>
    </row>
    <row r="172">
      <c r="A172" s="4" t="n"/>
      <c r="D172" s="7" t="n"/>
      <c r="E172" s="7" t="n"/>
      <c r="F172" s="10">
        <f>IF(OR(D172="",D172=0),"",(E172-D172)/D172)</f>
        <v/>
      </c>
    </row>
    <row r="173">
      <c r="A173" s="4" t="n"/>
      <c r="D173" s="7" t="n"/>
      <c r="E173" s="7" t="n"/>
      <c r="F173" s="10">
        <f>IF(OR(D173="",D173=0),"",(E173-D173)/D173)</f>
        <v/>
      </c>
    </row>
    <row r="174">
      <c r="A174" s="4" t="n"/>
      <c r="D174" s="7" t="n"/>
      <c r="E174" s="7" t="n"/>
      <c r="F174" s="10">
        <f>IF(OR(D174="",D174=0),"",(E174-D174)/D174)</f>
        <v/>
      </c>
    </row>
    <row r="175">
      <c r="A175" s="4" t="n"/>
      <c r="D175" s="7" t="n"/>
      <c r="E175" s="7" t="n"/>
      <c r="F175" s="10">
        <f>IF(OR(D175="",D175=0),"",(E175-D175)/D175)</f>
        <v/>
      </c>
    </row>
    <row r="176">
      <c r="A176" s="4" t="n"/>
      <c r="D176" s="7" t="n"/>
      <c r="E176" s="7" t="n"/>
      <c r="F176" s="10">
        <f>IF(OR(D176="",D176=0),"",(E176-D176)/D176)</f>
        <v/>
      </c>
    </row>
    <row r="177">
      <c r="A177" s="4" t="n"/>
      <c r="D177" s="7" t="n"/>
      <c r="E177" s="7" t="n"/>
      <c r="F177" s="10">
        <f>IF(OR(D177="",D177=0),"",(E177-D177)/D177)</f>
        <v/>
      </c>
    </row>
    <row r="178">
      <c r="A178" s="4" t="n"/>
      <c r="D178" s="7" t="n"/>
      <c r="E178" s="7" t="n"/>
      <c r="F178" s="10">
        <f>IF(OR(D178="",D178=0),"",(E178-D178)/D178)</f>
        <v/>
      </c>
    </row>
    <row r="179">
      <c r="A179" s="4" t="n"/>
      <c r="D179" s="7" t="n"/>
      <c r="E179" s="7" t="n"/>
      <c r="F179" s="10">
        <f>IF(OR(D179="",D179=0),"",(E179-D179)/D179)</f>
        <v/>
      </c>
    </row>
    <row r="180">
      <c r="A180" s="4" t="n"/>
      <c r="D180" s="7" t="n"/>
      <c r="E180" s="7" t="n"/>
      <c r="F180" s="10">
        <f>IF(OR(D180="",D180=0),"",(E180-D180)/D180)</f>
        <v/>
      </c>
    </row>
    <row r="181">
      <c r="A181" s="4" t="n"/>
      <c r="D181" s="7" t="n"/>
      <c r="E181" s="7" t="n"/>
      <c r="F181" s="10">
        <f>IF(OR(D181="",D181=0),"",(E181-D181)/D181)</f>
        <v/>
      </c>
    </row>
    <row r="182">
      <c r="A182" s="4" t="n"/>
      <c r="D182" s="7" t="n"/>
      <c r="E182" s="7" t="n"/>
      <c r="F182" s="10">
        <f>IF(OR(D182="",D182=0),"",(E182-D182)/D182)</f>
        <v/>
      </c>
    </row>
    <row r="183">
      <c r="A183" s="4" t="n"/>
      <c r="D183" s="7" t="n"/>
      <c r="E183" s="7" t="n"/>
      <c r="F183" s="10">
        <f>IF(OR(D183="",D183=0),"",(E183-D183)/D183)</f>
        <v/>
      </c>
    </row>
    <row r="184">
      <c r="A184" s="4" t="n"/>
      <c r="D184" s="7" t="n"/>
      <c r="E184" s="7" t="n"/>
      <c r="F184" s="10">
        <f>IF(OR(D184="",D184=0),"",(E184-D184)/D184)</f>
        <v/>
      </c>
    </row>
    <row r="185">
      <c r="A185" s="4" t="n"/>
      <c r="D185" s="7" t="n"/>
      <c r="E185" s="7" t="n"/>
      <c r="F185" s="10">
        <f>IF(OR(D185="",D185=0),"",(E185-D185)/D185)</f>
        <v/>
      </c>
    </row>
    <row r="186">
      <c r="A186" s="4" t="n"/>
      <c r="D186" s="7" t="n"/>
      <c r="E186" s="7" t="n"/>
      <c r="F186" s="10">
        <f>IF(OR(D186="",D186=0),"",(E186-D186)/D186)</f>
        <v/>
      </c>
    </row>
    <row r="187">
      <c r="A187" s="4" t="n"/>
      <c r="D187" s="7" t="n"/>
      <c r="E187" s="7" t="n"/>
      <c r="F187" s="10">
        <f>IF(OR(D187="",D187=0),"",(E187-D187)/D187)</f>
        <v/>
      </c>
    </row>
    <row r="188">
      <c r="A188" s="4" t="n"/>
      <c r="D188" s="7" t="n"/>
      <c r="E188" s="7" t="n"/>
      <c r="F188" s="10">
        <f>IF(OR(D188="",D188=0),"",(E188-D188)/D188)</f>
        <v/>
      </c>
    </row>
    <row r="189">
      <c r="A189" s="4" t="n"/>
      <c r="D189" s="7" t="n"/>
      <c r="E189" s="7" t="n"/>
      <c r="F189" s="10">
        <f>IF(OR(D189="",D189=0),"",(E189-D189)/D189)</f>
        <v/>
      </c>
    </row>
    <row r="190">
      <c r="A190" s="4" t="n"/>
      <c r="D190" s="7" t="n"/>
      <c r="E190" s="7" t="n"/>
      <c r="F190" s="10">
        <f>IF(OR(D190="",D190=0),"",(E190-D190)/D190)</f>
        <v/>
      </c>
    </row>
    <row r="191">
      <c r="A191" s="4" t="n"/>
      <c r="D191" s="7" t="n"/>
      <c r="E191" s="7" t="n"/>
      <c r="F191" s="10">
        <f>IF(OR(D191="",D191=0),"",(E191-D191)/D191)</f>
        <v/>
      </c>
    </row>
    <row r="192">
      <c r="A192" s="4" t="n"/>
      <c r="D192" s="7" t="n"/>
      <c r="E192" s="7" t="n"/>
      <c r="F192" s="10">
        <f>IF(OR(D192="",D192=0),"",(E192-D192)/D192)</f>
        <v/>
      </c>
    </row>
    <row r="193">
      <c r="A193" s="4" t="n"/>
      <c r="D193" s="7" t="n"/>
      <c r="E193" s="7" t="n"/>
      <c r="F193" s="10">
        <f>IF(OR(D193="",D193=0),"",(E193-D193)/D193)</f>
        <v/>
      </c>
    </row>
    <row r="194">
      <c r="A194" s="4" t="n"/>
      <c r="D194" s="7" t="n"/>
      <c r="E194" s="7" t="n"/>
      <c r="F194" s="10">
        <f>IF(OR(D194="",D194=0),"",(E194-D194)/D194)</f>
        <v/>
      </c>
    </row>
    <row r="195">
      <c r="A195" s="4" t="n"/>
      <c r="D195" s="7" t="n"/>
      <c r="E195" s="7" t="n"/>
      <c r="F195" s="10">
        <f>IF(OR(D195="",D195=0),"",(E195-D195)/D195)</f>
        <v/>
      </c>
    </row>
    <row r="196">
      <c r="A196" s="4" t="n"/>
      <c r="D196" s="7" t="n"/>
      <c r="E196" s="7" t="n"/>
      <c r="F196" s="10">
        <f>IF(OR(D196="",D196=0),"",(E196-D196)/D196)</f>
        <v/>
      </c>
    </row>
    <row r="197">
      <c r="A197" s="4" t="n"/>
      <c r="D197" s="7" t="n"/>
      <c r="E197" s="7" t="n"/>
      <c r="F197" s="10">
        <f>IF(OR(D197="",D197=0),"",(E197-D197)/D197)</f>
        <v/>
      </c>
    </row>
    <row r="198">
      <c r="A198" s="4" t="n"/>
      <c r="D198" s="7" t="n"/>
      <c r="E198" s="7" t="n"/>
      <c r="F198" s="10">
        <f>IF(OR(D198="",D198=0),"",(E198-D198)/D198)</f>
        <v/>
      </c>
    </row>
    <row r="199">
      <c r="A199" s="4" t="n"/>
      <c r="D199" s="7" t="n"/>
      <c r="E199" s="7" t="n"/>
      <c r="F199" s="10">
        <f>IF(OR(D199="",D199=0),"",(E199-D199)/D199)</f>
        <v/>
      </c>
    </row>
    <row r="200">
      <c r="A200" s="4" t="n"/>
      <c r="D200" s="7" t="n"/>
      <c r="E200" s="7" t="n"/>
      <c r="F200" s="10">
        <f>IF(OR(D200="",D200=0),"",(E200-D200)/D200)</f>
        <v/>
      </c>
    </row>
    <row r="201">
      <c r="A201" s="4" t="n"/>
      <c r="D201" s="7" t="n"/>
      <c r="E201" s="7" t="n"/>
      <c r="F201" s="10">
        <f>IF(OR(D201="",D201=0),"",(E201-D201)/D201)</f>
        <v/>
      </c>
    </row>
    <row r="202">
      <c r="A202" s="4" t="n"/>
      <c r="D202" s="7" t="n"/>
      <c r="E202" s="7" t="n"/>
      <c r="F202" s="10">
        <f>IF(OR(D202="",D202=0),"",(E202-D202)/D202)</f>
        <v/>
      </c>
    </row>
    <row r="203">
      <c r="A203" s="4" t="n"/>
      <c r="D203" s="7" t="n"/>
      <c r="E203" s="7" t="n"/>
      <c r="F203" s="10">
        <f>IF(OR(D203="",D203=0),"",(E203-D203)/D203)</f>
        <v/>
      </c>
    </row>
    <row r="204">
      <c r="A204" s="4" t="n"/>
      <c r="D204" s="7" t="n"/>
      <c r="E204" s="7" t="n"/>
      <c r="F204" s="10">
        <f>IF(OR(D204="",D204=0),"",(E204-D204)/D204)</f>
        <v/>
      </c>
    </row>
    <row r="205">
      <c r="A205" s="4" t="n"/>
      <c r="D205" s="7" t="n"/>
      <c r="E205" s="7" t="n"/>
      <c r="F205" s="10">
        <f>IF(OR(D205="",D205=0),"",(E205-D205)/D205)</f>
        <v/>
      </c>
    </row>
    <row r="206">
      <c r="A206" s="4" t="n"/>
      <c r="D206" s="7" t="n"/>
      <c r="E206" s="7" t="n"/>
      <c r="F206" s="10">
        <f>IF(OR(D206="",D206=0),"",(E206-D206)/D206)</f>
        <v/>
      </c>
    </row>
    <row r="207">
      <c r="A207" s="4" t="n"/>
      <c r="D207" s="7" t="n"/>
      <c r="E207" s="7" t="n"/>
      <c r="F207" s="10">
        <f>IF(OR(D207="",D207=0),"",(E207-D207)/D207)</f>
        <v/>
      </c>
    </row>
    <row r="208">
      <c r="A208" s="4" t="n"/>
      <c r="D208" s="7" t="n"/>
      <c r="E208" s="7" t="n"/>
      <c r="F208" s="10">
        <f>IF(OR(D208="",D208=0),"",(E208-D208)/D208)</f>
        <v/>
      </c>
    </row>
    <row r="209">
      <c r="A209" s="4" t="n"/>
      <c r="D209" s="7" t="n"/>
      <c r="E209" s="7" t="n"/>
      <c r="F209" s="10">
        <f>IF(OR(D209="",D209=0),"",(E209-D209)/D209)</f>
        <v/>
      </c>
    </row>
    <row r="210">
      <c r="A210" s="4" t="n"/>
      <c r="D210" s="7" t="n"/>
      <c r="E210" s="7" t="n"/>
      <c r="F210" s="10">
        <f>IF(OR(D210="",D210=0),"",(E210-D210)/D210)</f>
        <v/>
      </c>
    </row>
    <row r="211">
      <c r="A211" s="4" t="n"/>
      <c r="D211" s="7" t="n"/>
      <c r="E211" s="7" t="n"/>
      <c r="F211" s="10">
        <f>IF(OR(D211="",D211=0),"",(E211-D211)/D211)</f>
        <v/>
      </c>
    </row>
    <row r="212">
      <c r="A212" s="4" t="n"/>
      <c r="D212" s="7" t="n"/>
      <c r="E212" s="7" t="n"/>
      <c r="F212" s="10">
        <f>IF(OR(D212="",D212=0),"",(E212-D212)/D212)</f>
        <v/>
      </c>
    </row>
    <row r="213">
      <c r="A213" s="4" t="n"/>
      <c r="D213" s="7" t="n"/>
      <c r="E213" s="7" t="n"/>
      <c r="F213" s="10">
        <f>IF(OR(D213="",D213=0),"",(E213-D213)/D213)</f>
        <v/>
      </c>
    </row>
    <row r="214">
      <c r="A214" s="4" t="n"/>
      <c r="D214" s="7" t="n"/>
      <c r="E214" s="7" t="n"/>
      <c r="F214" s="10">
        <f>IF(OR(D214="",D214=0),"",(E214-D214)/D214)</f>
        <v/>
      </c>
    </row>
    <row r="215">
      <c r="A215" s="4" t="n"/>
      <c r="D215" s="7" t="n"/>
      <c r="E215" s="7" t="n"/>
      <c r="F215" s="10">
        <f>IF(OR(D215="",D215=0),"",(E215-D215)/D215)</f>
        <v/>
      </c>
    </row>
    <row r="216">
      <c r="A216" s="4" t="n"/>
      <c r="D216" s="7" t="n"/>
      <c r="E216" s="7" t="n"/>
      <c r="F216" s="10">
        <f>IF(OR(D216="",D216=0),"",(E216-D216)/D216)</f>
        <v/>
      </c>
    </row>
    <row r="217">
      <c r="A217" s="4" t="n"/>
      <c r="D217" s="7" t="n"/>
      <c r="E217" s="7" t="n"/>
      <c r="F217" s="10">
        <f>IF(OR(D217="",D217=0),"",(E217-D217)/D217)</f>
        <v/>
      </c>
    </row>
    <row r="218">
      <c r="A218" s="4" t="n"/>
      <c r="D218" s="7" t="n"/>
      <c r="E218" s="7" t="n"/>
      <c r="F218" s="10">
        <f>IF(OR(D218="",D218=0),"",(E218-D218)/D218)</f>
        <v/>
      </c>
    </row>
    <row r="219">
      <c r="A219" s="4" t="n"/>
      <c r="D219" s="7" t="n"/>
      <c r="E219" s="7" t="n"/>
      <c r="F219" s="10">
        <f>IF(OR(D219="",D219=0),"",(E219-D219)/D219)</f>
        <v/>
      </c>
    </row>
    <row r="220">
      <c r="A220" s="4" t="n"/>
      <c r="D220" s="7" t="n"/>
      <c r="E220" s="7" t="n"/>
      <c r="F220" s="10">
        <f>IF(OR(D220="",D220=0),"",(E220-D220)/D220)</f>
        <v/>
      </c>
    </row>
    <row r="221">
      <c r="A221" s="4" t="n"/>
      <c r="D221" s="7" t="n"/>
      <c r="E221" s="7" t="n"/>
      <c r="F221" s="10">
        <f>IF(OR(D221="",D221=0),"",(E221-D221)/D221)</f>
        <v/>
      </c>
    </row>
    <row r="222">
      <c r="A222" s="4" t="n"/>
      <c r="D222" s="7" t="n"/>
      <c r="E222" s="7" t="n"/>
      <c r="F222" s="10">
        <f>IF(OR(D222="",D222=0),"",(E222-D222)/D222)</f>
        <v/>
      </c>
    </row>
    <row r="223">
      <c r="A223" s="4" t="n"/>
      <c r="D223" s="7" t="n"/>
      <c r="E223" s="7" t="n"/>
      <c r="F223" s="10">
        <f>IF(OR(D223="",D223=0),"",(E223-D223)/D223)</f>
        <v/>
      </c>
    </row>
    <row r="224">
      <c r="A224" s="4" t="n"/>
      <c r="D224" s="7" t="n"/>
      <c r="E224" s="7" t="n"/>
      <c r="F224" s="10">
        <f>IF(OR(D224="",D224=0),"",(E224-D224)/D224)</f>
        <v/>
      </c>
    </row>
    <row r="225">
      <c r="A225" s="4" t="n"/>
      <c r="D225" s="7" t="n"/>
      <c r="E225" s="7" t="n"/>
      <c r="F225" s="10">
        <f>IF(OR(D225="",D225=0),"",(E225-D225)/D225)</f>
        <v/>
      </c>
    </row>
    <row r="226">
      <c r="A226" s="4" t="n"/>
      <c r="D226" s="7" t="n"/>
      <c r="E226" s="7" t="n"/>
      <c r="F226" s="10">
        <f>IF(OR(D226="",D226=0),"",(E226-D226)/D226)</f>
        <v/>
      </c>
    </row>
    <row r="227">
      <c r="A227" s="4" t="n"/>
      <c r="D227" s="7" t="n"/>
      <c r="E227" s="7" t="n"/>
      <c r="F227" s="10">
        <f>IF(OR(D227="",D227=0),"",(E227-D227)/D227)</f>
        <v/>
      </c>
    </row>
    <row r="228">
      <c r="A228" s="4" t="n"/>
      <c r="D228" s="7" t="n"/>
      <c r="E228" s="7" t="n"/>
      <c r="F228" s="10">
        <f>IF(OR(D228="",D228=0),"",(E228-D228)/D228)</f>
        <v/>
      </c>
    </row>
    <row r="229">
      <c r="A229" s="4" t="n"/>
      <c r="D229" s="7" t="n"/>
      <c r="E229" s="7" t="n"/>
      <c r="F229" s="10">
        <f>IF(OR(D229="",D229=0),"",(E229-D229)/D229)</f>
        <v/>
      </c>
    </row>
    <row r="230">
      <c r="A230" s="4" t="n"/>
      <c r="D230" s="7" t="n"/>
      <c r="E230" s="7" t="n"/>
      <c r="F230" s="10">
        <f>IF(OR(D230="",D230=0),"",(E230-D230)/D230)</f>
        <v/>
      </c>
    </row>
    <row r="231">
      <c r="A231" s="4" t="n"/>
      <c r="D231" s="7" t="n"/>
      <c r="E231" s="7" t="n"/>
      <c r="F231" s="10">
        <f>IF(OR(D231="",D231=0),"",(E231-D231)/D231)</f>
        <v/>
      </c>
    </row>
    <row r="232">
      <c r="A232" s="4" t="n"/>
      <c r="D232" s="7" t="n"/>
      <c r="E232" s="7" t="n"/>
      <c r="F232" s="10">
        <f>IF(OR(D232="",D232=0),"",(E232-D232)/D232)</f>
        <v/>
      </c>
    </row>
    <row r="233">
      <c r="A233" s="4" t="n"/>
      <c r="D233" s="7" t="n"/>
      <c r="E233" s="7" t="n"/>
      <c r="F233" s="10">
        <f>IF(OR(D233="",D233=0),"",(E233-D233)/D233)</f>
        <v/>
      </c>
    </row>
    <row r="234">
      <c r="A234" s="4" t="n"/>
      <c r="D234" s="7" t="n"/>
      <c r="E234" s="7" t="n"/>
      <c r="F234" s="10">
        <f>IF(OR(D234="",D234=0),"",(E234-D234)/D234)</f>
        <v/>
      </c>
    </row>
    <row r="235">
      <c r="A235" s="4" t="n"/>
      <c r="D235" s="7" t="n"/>
      <c r="E235" s="7" t="n"/>
      <c r="F235" s="10">
        <f>IF(OR(D235="",D235=0),"",(E235-D235)/D235)</f>
        <v/>
      </c>
    </row>
    <row r="236">
      <c r="A236" s="4" t="n"/>
      <c r="D236" s="7" t="n"/>
      <c r="E236" s="7" t="n"/>
      <c r="F236" s="10">
        <f>IF(OR(D236="",D236=0),"",(E236-D236)/D236)</f>
        <v/>
      </c>
    </row>
    <row r="237">
      <c r="A237" s="4" t="n"/>
      <c r="D237" s="7" t="n"/>
      <c r="E237" s="7" t="n"/>
      <c r="F237" s="10">
        <f>IF(OR(D237="",D237=0),"",(E237-D237)/D237)</f>
        <v/>
      </c>
    </row>
    <row r="238">
      <c r="A238" s="4" t="n"/>
      <c r="D238" s="7" t="n"/>
      <c r="E238" s="7" t="n"/>
      <c r="F238" s="10">
        <f>IF(OR(D238="",D238=0),"",(E238-D238)/D238)</f>
        <v/>
      </c>
    </row>
    <row r="239">
      <c r="A239" s="4" t="n"/>
      <c r="D239" s="7" t="n"/>
      <c r="E239" s="7" t="n"/>
      <c r="F239" s="10">
        <f>IF(OR(D239="",D239=0),"",(E239-D239)/D239)</f>
        <v/>
      </c>
    </row>
    <row r="240">
      <c r="A240" s="4" t="n"/>
      <c r="D240" s="7" t="n"/>
      <c r="E240" s="7" t="n"/>
      <c r="F240" s="10">
        <f>IF(OR(D240="",D240=0),"",(E240-D240)/D240)</f>
        <v/>
      </c>
    </row>
    <row r="241">
      <c r="A241" s="4" t="n"/>
      <c r="D241" s="7" t="n"/>
      <c r="E241" s="7" t="n"/>
      <c r="F241" s="10">
        <f>IF(OR(D241="",D241=0),"",(E241-D241)/D241)</f>
        <v/>
      </c>
    </row>
    <row r="242">
      <c r="A242" s="4" t="n"/>
      <c r="D242" s="7" t="n"/>
      <c r="E242" s="7" t="n"/>
      <c r="F242" s="10">
        <f>IF(OR(D242="",D242=0),"",(E242-D242)/D242)</f>
        <v/>
      </c>
    </row>
    <row r="243">
      <c r="A243" s="4" t="n"/>
      <c r="D243" s="7" t="n"/>
      <c r="E243" s="7" t="n"/>
      <c r="F243" s="10">
        <f>IF(OR(D243="",D243=0),"",(E243-D243)/D243)</f>
        <v/>
      </c>
    </row>
    <row r="244">
      <c r="A244" s="4" t="n"/>
      <c r="D244" s="7" t="n"/>
      <c r="E244" s="7" t="n"/>
      <c r="F244" s="10">
        <f>IF(OR(D244="",D244=0),"",(E244-D244)/D244)</f>
        <v/>
      </c>
    </row>
    <row r="245">
      <c r="A245" s="4" t="n"/>
      <c r="D245" s="7" t="n"/>
      <c r="E245" s="7" t="n"/>
      <c r="F245" s="10">
        <f>IF(OR(D245="",D245=0),"",(E245-D245)/D245)</f>
        <v/>
      </c>
    </row>
    <row r="246">
      <c r="A246" s="4" t="n"/>
      <c r="D246" s="7" t="n"/>
      <c r="E246" s="7" t="n"/>
      <c r="F246" s="10">
        <f>IF(OR(D246="",D246=0),"",(E246-D246)/D246)</f>
        <v/>
      </c>
    </row>
    <row r="247">
      <c r="A247" s="4" t="n"/>
      <c r="D247" s="7" t="n"/>
      <c r="E247" s="7" t="n"/>
      <c r="F247" s="10">
        <f>IF(OR(D247="",D247=0),"",(E247-D247)/D247)</f>
        <v/>
      </c>
    </row>
    <row r="248">
      <c r="A248" s="4" t="n"/>
      <c r="D248" s="7" t="n"/>
      <c r="E248" s="7" t="n"/>
      <c r="F248" s="10">
        <f>IF(OR(D248="",D248=0),"",(E248-D248)/D248)</f>
        <v/>
      </c>
    </row>
    <row r="249">
      <c r="A249" s="4" t="n"/>
      <c r="D249" s="7" t="n"/>
      <c r="E249" s="7" t="n"/>
      <c r="F249" s="10">
        <f>IF(OR(D249="",D249=0),"",(E249-D249)/D249)</f>
        <v/>
      </c>
    </row>
    <row r="250">
      <c r="A250" s="4" t="n"/>
      <c r="D250" s="7" t="n"/>
      <c r="E250" s="7" t="n"/>
      <c r="F250" s="10">
        <f>IF(OR(D250="",D250=0),"",(E250-D250)/D250)</f>
        <v/>
      </c>
    </row>
    <row r="251">
      <c r="A251" s="4" t="n"/>
      <c r="D251" s="7" t="n"/>
      <c r="E251" s="7" t="n"/>
      <c r="F251" s="10">
        <f>IF(OR(D251="",D251=0),"",(E251-D251)/D251)</f>
        <v/>
      </c>
    </row>
    <row r="252">
      <c r="A252" s="4" t="n"/>
      <c r="D252" s="7" t="n"/>
      <c r="E252" s="7" t="n"/>
      <c r="F252" s="10">
        <f>IF(OR(D252="",D252=0),"",(E252-D252)/D252)</f>
        <v/>
      </c>
    </row>
    <row r="253">
      <c r="A253" s="4" t="n"/>
      <c r="D253" s="7" t="n"/>
      <c r="E253" s="7" t="n"/>
      <c r="F253" s="10">
        <f>IF(OR(D253="",D253=0),"",(E253-D253)/D253)</f>
        <v/>
      </c>
    </row>
    <row r="254">
      <c r="A254" s="4" t="n"/>
      <c r="D254" s="7" t="n"/>
      <c r="E254" s="7" t="n"/>
      <c r="F254" s="10">
        <f>IF(OR(D254="",D254=0),"",(E254-D254)/D254)</f>
        <v/>
      </c>
    </row>
    <row r="255">
      <c r="A255" s="4" t="n"/>
      <c r="D255" s="7" t="n"/>
      <c r="E255" s="7" t="n"/>
      <c r="F255" s="10">
        <f>IF(OR(D255="",D255=0),"",(E255-D255)/D255)</f>
        <v/>
      </c>
    </row>
    <row r="256">
      <c r="A256" s="4" t="n"/>
      <c r="D256" s="7" t="n"/>
      <c r="E256" s="7" t="n"/>
      <c r="F256" s="10">
        <f>IF(OR(D256="",D256=0),"",(E256-D256)/D256)</f>
        <v/>
      </c>
    </row>
    <row r="257">
      <c r="A257" s="4" t="n"/>
      <c r="D257" s="7" t="n"/>
      <c r="E257" s="7" t="n"/>
      <c r="F257" s="10">
        <f>IF(OR(D257="",D257=0),"",(E257-D257)/D257)</f>
        <v/>
      </c>
    </row>
    <row r="258">
      <c r="A258" s="4" t="n"/>
      <c r="D258" s="7" t="n"/>
      <c r="E258" s="7" t="n"/>
      <c r="F258" s="10">
        <f>IF(OR(D258="",D258=0),"",(E258-D258)/D258)</f>
        <v/>
      </c>
    </row>
    <row r="259">
      <c r="A259" s="4" t="n"/>
      <c r="D259" s="7" t="n"/>
      <c r="E259" s="7" t="n"/>
      <c r="F259" s="10">
        <f>IF(OR(D259="",D259=0),"",(E259-D259)/D259)</f>
        <v/>
      </c>
    </row>
    <row r="260">
      <c r="A260" s="4" t="n"/>
      <c r="D260" s="7" t="n"/>
      <c r="E260" s="7" t="n"/>
      <c r="F260" s="10">
        <f>IF(OR(D260="",D260=0),"",(E260-D260)/D260)</f>
        <v/>
      </c>
    </row>
    <row r="261">
      <c r="A261" s="4" t="n"/>
      <c r="D261" s="7" t="n"/>
      <c r="E261" s="7" t="n"/>
      <c r="F261" s="10">
        <f>IF(OR(D261="",D261=0),"",(E261-D261)/D261)</f>
        <v/>
      </c>
    </row>
    <row r="262">
      <c r="A262" s="4" t="n"/>
      <c r="D262" s="7" t="n"/>
      <c r="E262" s="7" t="n"/>
      <c r="F262" s="10">
        <f>IF(OR(D262="",D262=0),"",(E262-D262)/D262)</f>
        <v/>
      </c>
    </row>
    <row r="263">
      <c r="A263" s="4" t="n"/>
      <c r="D263" s="7" t="n"/>
      <c r="E263" s="7" t="n"/>
      <c r="F263" s="10">
        <f>IF(OR(D263="",D263=0),"",(E263-D263)/D263)</f>
        <v/>
      </c>
    </row>
    <row r="264">
      <c r="A264" s="4" t="n"/>
      <c r="D264" s="7" t="n"/>
      <c r="E264" s="7" t="n"/>
      <c r="F264" s="10">
        <f>IF(OR(D264="",D264=0),"",(E264-D264)/D264)</f>
        <v/>
      </c>
    </row>
    <row r="265">
      <c r="A265" s="4" t="n"/>
      <c r="D265" s="7" t="n"/>
      <c r="E265" s="7" t="n"/>
      <c r="F265" s="10">
        <f>IF(OR(D265="",D265=0),"",(E265-D265)/D265)</f>
        <v/>
      </c>
    </row>
    <row r="266">
      <c r="A266" s="4" t="n"/>
      <c r="D266" s="7" t="n"/>
      <c r="E266" s="7" t="n"/>
      <c r="F266" s="10">
        <f>IF(OR(D266="",D266=0),"",(E266-D266)/D266)</f>
        <v/>
      </c>
    </row>
    <row r="267">
      <c r="A267" s="4" t="n"/>
      <c r="D267" s="7" t="n"/>
      <c r="E267" s="7" t="n"/>
      <c r="F267" s="10">
        <f>IF(OR(D267="",D267=0),"",(E267-D267)/D267)</f>
        <v/>
      </c>
    </row>
    <row r="268">
      <c r="A268" s="4" t="n"/>
      <c r="D268" s="7" t="n"/>
      <c r="E268" s="7" t="n"/>
      <c r="F268" s="10">
        <f>IF(OR(D268="",D268=0),"",(E268-D268)/D268)</f>
        <v/>
      </c>
    </row>
    <row r="269">
      <c r="A269" s="4" t="n"/>
      <c r="D269" s="7" t="n"/>
      <c r="E269" s="7" t="n"/>
      <c r="F269" s="10">
        <f>IF(OR(D269="",D269=0),"",(E269-D269)/D269)</f>
        <v/>
      </c>
    </row>
    <row r="270">
      <c r="A270" s="4" t="n"/>
      <c r="D270" s="7" t="n"/>
      <c r="E270" s="7" t="n"/>
      <c r="F270" s="10">
        <f>IF(OR(D270="",D270=0),"",(E270-D270)/D270)</f>
        <v/>
      </c>
    </row>
    <row r="271">
      <c r="A271" s="4" t="n"/>
      <c r="D271" s="7" t="n"/>
      <c r="E271" s="7" t="n"/>
      <c r="F271" s="10">
        <f>IF(OR(D271="",D271=0),"",(E271-D271)/D271)</f>
        <v/>
      </c>
    </row>
    <row r="272">
      <c r="A272" s="4" t="n"/>
      <c r="D272" s="7" t="n"/>
      <c r="E272" s="7" t="n"/>
      <c r="F272" s="10">
        <f>IF(OR(D272="",D272=0),"",(E272-D272)/D272)</f>
        <v/>
      </c>
    </row>
    <row r="273">
      <c r="A273" s="4" t="n"/>
      <c r="D273" s="7" t="n"/>
      <c r="E273" s="7" t="n"/>
      <c r="F273" s="10">
        <f>IF(OR(D273="",D273=0),"",(E273-D273)/D273)</f>
        <v/>
      </c>
    </row>
    <row r="274">
      <c r="A274" s="4" t="n"/>
      <c r="D274" s="7" t="n"/>
      <c r="E274" s="7" t="n"/>
      <c r="F274" s="10">
        <f>IF(OR(D274="",D274=0),"",(E274-D274)/D274)</f>
        <v/>
      </c>
    </row>
    <row r="275">
      <c r="A275" s="4" t="n"/>
      <c r="D275" s="7" t="n"/>
      <c r="E275" s="7" t="n"/>
      <c r="F275" s="10">
        <f>IF(OR(D275="",D275=0),"",(E275-D275)/D275)</f>
        <v/>
      </c>
    </row>
    <row r="276">
      <c r="A276" s="4" t="n"/>
      <c r="D276" s="7" t="n"/>
      <c r="E276" s="7" t="n"/>
      <c r="F276" s="10">
        <f>IF(OR(D276="",D276=0),"",(E276-D276)/D276)</f>
        <v/>
      </c>
    </row>
    <row r="277">
      <c r="A277" s="4" t="n"/>
      <c r="D277" s="7" t="n"/>
      <c r="E277" s="7" t="n"/>
      <c r="F277" s="10">
        <f>IF(OR(D277="",D277=0),"",(E277-D277)/D277)</f>
        <v/>
      </c>
    </row>
    <row r="278">
      <c r="A278" s="4" t="n"/>
      <c r="D278" s="7" t="n"/>
      <c r="E278" s="7" t="n"/>
      <c r="F278" s="10">
        <f>IF(OR(D278="",D278=0),"",(E278-D278)/D278)</f>
        <v/>
      </c>
    </row>
    <row r="279">
      <c r="A279" s="4" t="n"/>
      <c r="D279" s="7" t="n"/>
      <c r="E279" s="7" t="n"/>
      <c r="F279" s="10">
        <f>IF(OR(D279="",D279=0),"",(E279-D279)/D279)</f>
        <v/>
      </c>
    </row>
    <row r="280">
      <c r="A280" s="4" t="n"/>
      <c r="D280" s="7" t="n"/>
      <c r="E280" s="7" t="n"/>
      <c r="F280" s="10">
        <f>IF(OR(D280="",D280=0),"",(E280-D280)/D280)</f>
        <v/>
      </c>
    </row>
    <row r="281">
      <c r="A281" s="4" t="n"/>
      <c r="D281" s="7" t="n"/>
      <c r="E281" s="7" t="n"/>
      <c r="F281" s="10">
        <f>IF(OR(D281="",D281=0),"",(E281-D281)/D281)</f>
        <v/>
      </c>
    </row>
    <row r="282">
      <c r="A282" s="4" t="n"/>
      <c r="D282" s="7" t="n"/>
      <c r="E282" s="7" t="n"/>
      <c r="F282" s="10">
        <f>IF(OR(D282="",D282=0),"",(E282-D282)/D282)</f>
        <v/>
      </c>
    </row>
    <row r="283">
      <c r="A283" s="4" t="n"/>
      <c r="D283" s="7" t="n"/>
      <c r="E283" s="7" t="n"/>
      <c r="F283" s="10">
        <f>IF(OR(D283="",D283=0),"",(E283-D283)/D283)</f>
        <v/>
      </c>
    </row>
    <row r="284">
      <c r="A284" s="4" t="n"/>
      <c r="D284" s="7" t="n"/>
      <c r="E284" s="7" t="n"/>
      <c r="F284" s="10">
        <f>IF(OR(D284="",D284=0),"",(E284-D284)/D284)</f>
        <v/>
      </c>
    </row>
    <row r="285">
      <c r="A285" s="4" t="n"/>
      <c r="D285" s="7" t="n"/>
      <c r="E285" s="7" t="n"/>
      <c r="F285" s="10">
        <f>IF(OR(D285="",D285=0),"",(E285-D285)/D285)</f>
        <v/>
      </c>
    </row>
    <row r="286">
      <c r="A286" s="4" t="n"/>
      <c r="D286" s="7" t="n"/>
      <c r="E286" s="7" t="n"/>
      <c r="F286" s="10">
        <f>IF(OR(D286="",D286=0),"",(E286-D286)/D286)</f>
        <v/>
      </c>
    </row>
    <row r="287">
      <c r="A287" s="4" t="n"/>
      <c r="D287" s="7" t="n"/>
      <c r="E287" s="7" t="n"/>
      <c r="F287" s="10">
        <f>IF(OR(D287="",D287=0),"",(E287-D287)/D287)</f>
        <v/>
      </c>
    </row>
    <row r="288">
      <c r="A288" s="4" t="n"/>
      <c r="D288" s="7" t="n"/>
      <c r="E288" s="7" t="n"/>
      <c r="F288" s="10">
        <f>IF(OR(D288="",D288=0),"",(E288-D288)/D288)</f>
        <v/>
      </c>
    </row>
    <row r="289">
      <c r="A289" s="4" t="n"/>
      <c r="D289" s="7" t="n"/>
      <c r="E289" s="7" t="n"/>
      <c r="F289" s="10">
        <f>IF(OR(D289="",D289=0),"",(E289-D289)/D289)</f>
        <v/>
      </c>
    </row>
    <row r="290">
      <c r="A290" s="4" t="n"/>
      <c r="D290" s="7" t="n"/>
      <c r="E290" s="7" t="n"/>
      <c r="F290" s="10">
        <f>IF(OR(D290="",D290=0),"",(E290-D290)/D290)</f>
        <v/>
      </c>
    </row>
    <row r="291">
      <c r="A291" s="4" t="n"/>
      <c r="D291" s="7" t="n"/>
      <c r="E291" s="7" t="n"/>
      <c r="F291" s="10">
        <f>IF(OR(D291="",D291=0),"",(E291-D291)/D291)</f>
        <v/>
      </c>
    </row>
    <row r="292">
      <c r="A292" s="4" t="n"/>
      <c r="D292" s="7" t="n"/>
      <c r="E292" s="7" t="n"/>
      <c r="F292" s="10">
        <f>IF(OR(D292="",D292=0),"",(E292-D292)/D292)</f>
        <v/>
      </c>
    </row>
    <row r="293">
      <c r="A293" s="4" t="n"/>
      <c r="D293" s="7" t="n"/>
      <c r="E293" s="7" t="n"/>
      <c r="F293" s="10">
        <f>IF(OR(D293="",D293=0),"",(E293-D293)/D293)</f>
        <v/>
      </c>
    </row>
    <row r="294">
      <c r="A294" s="4" t="n"/>
      <c r="D294" s="7" t="n"/>
      <c r="E294" s="7" t="n"/>
      <c r="F294" s="10">
        <f>IF(OR(D294="",D294=0),"",(E294-D294)/D294)</f>
        <v/>
      </c>
    </row>
    <row r="295">
      <c r="A295" s="4" t="n"/>
      <c r="D295" s="7" t="n"/>
      <c r="E295" s="7" t="n"/>
      <c r="F295" s="10">
        <f>IF(OR(D295="",D295=0),"",(E295-D295)/D295)</f>
        <v/>
      </c>
    </row>
    <row r="296">
      <c r="A296" s="4" t="n"/>
      <c r="D296" s="7" t="n"/>
      <c r="E296" s="7" t="n"/>
      <c r="F296" s="10">
        <f>IF(OR(D296="",D296=0),"",(E296-D296)/D296)</f>
        <v/>
      </c>
    </row>
    <row r="297">
      <c r="A297" s="4" t="n"/>
      <c r="D297" s="7" t="n"/>
      <c r="E297" s="7" t="n"/>
      <c r="F297" s="10">
        <f>IF(OR(D297="",D297=0),"",(E297-D297)/D297)</f>
        <v/>
      </c>
    </row>
    <row r="298">
      <c r="A298" s="4" t="n"/>
      <c r="D298" s="7" t="n"/>
      <c r="E298" s="7" t="n"/>
      <c r="F298" s="10">
        <f>IF(OR(D298="",D298=0),"",(E298-D298)/D298)</f>
        <v/>
      </c>
    </row>
    <row r="299">
      <c r="A299" s="4" t="n"/>
      <c r="D299" s="7" t="n"/>
      <c r="E299" s="7" t="n"/>
      <c r="F299" s="10">
        <f>IF(OR(D299="",D299=0),"",(E299-D299)/D299)</f>
        <v/>
      </c>
    </row>
    <row r="300">
      <c r="A300" s="4" t="n"/>
      <c r="D300" s="7" t="n"/>
      <c r="E300" s="7" t="n"/>
      <c r="F300" s="10">
        <f>IF(OR(D300="",D300=0),"",(E300-D300)/D300)</f>
        <v/>
      </c>
    </row>
    <row r="301">
      <c r="A301" s="4" t="n"/>
      <c r="D301" s="7" t="n"/>
      <c r="E301" s="7" t="n"/>
      <c r="F301" s="10">
        <f>IF(OR(D301="",D301=0),"",(E301-D301)/D301)</f>
        <v/>
      </c>
    </row>
    <row r="302">
      <c r="A302" s="4" t="n"/>
      <c r="D302" s="7" t="n"/>
      <c r="E302" s="7" t="n"/>
      <c r="F302" s="10">
        <f>IF(OR(D302="",D302=0),"",(E302-D302)/D302)</f>
        <v/>
      </c>
    </row>
    <row r="303">
      <c r="A303" s="4" t="n"/>
      <c r="D303" s="7" t="n"/>
      <c r="E303" s="7" t="n"/>
      <c r="F303" s="10">
        <f>IF(OR(D303="",D303=0),"",(E303-D303)/D303)</f>
        <v/>
      </c>
    </row>
    <row r="304">
      <c r="A304" s="4" t="n"/>
      <c r="D304" s="7" t="n"/>
      <c r="E304" s="7" t="n"/>
      <c r="F304" s="10">
        <f>IF(OR(D304="",D304=0),"",(E304-D304)/D304)</f>
        <v/>
      </c>
    </row>
    <row r="305">
      <c r="A305" s="4" t="n"/>
      <c r="D305" s="7" t="n"/>
      <c r="E305" s="7" t="n"/>
      <c r="F305" s="10">
        <f>IF(OR(D305="",D305=0),"",(E305-D305)/D305)</f>
        <v/>
      </c>
    </row>
    <row r="306">
      <c r="A306" s="4" t="n"/>
      <c r="D306" s="7" t="n"/>
      <c r="E306" s="7" t="n"/>
      <c r="F306" s="10">
        <f>IF(OR(D306="",D306=0),"",(E306-D306)/D306)</f>
        <v/>
      </c>
    </row>
    <row r="307">
      <c r="A307" s="4" t="n"/>
      <c r="D307" s="7" t="n"/>
      <c r="E307" s="7" t="n"/>
      <c r="F307" s="10">
        <f>IF(OR(D307="",D307=0),"",(E307-D307)/D307)</f>
        <v/>
      </c>
    </row>
    <row r="308">
      <c r="A308" s="4" t="n"/>
      <c r="D308" s="7" t="n"/>
      <c r="E308" s="7" t="n"/>
      <c r="F308" s="10">
        <f>IF(OR(D308="",D308=0),"",(E308-D308)/D308)</f>
        <v/>
      </c>
    </row>
    <row r="309">
      <c r="A309" s="4" t="n"/>
      <c r="D309" s="7" t="n"/>
      <c r="E309" s="7" t="n"/>
      <c r="F309" s="10">
        <f>IF(OR(D309="",D309=0),"",(E309-D309)/D309)</f>
        <v/>
      </c>
    </row>
    <row r="310">
      <c r="A310" s="4" t="n"/>
      <c r="D310" s="7" t="n"/>
      <c r="E310" s="7" t="n"/>
      <c r="F310" s="10">
        <f>IF(OR(D310="",D310=0),"",(E310-D310)/D310)</f>
        <v/>
      </c>
    </row>
    <row r="311">
      <c r="A311" s="4" t="n"/>
      <c r="D311" s="7" t="n"/>
      <c r="E311" s="7" t="n"/>
      <c r="F311" s="10">
        <f>IF(OR(D311="",D311=0),"",(E311-D311)/D311)</f>
        <v/>
      </c>
    </row>
    <row r="312">
      <c r="A312" s="4" t="n"/>
      <c r="D312" s="7" t="n"/>
      <c r="E312" s="7" t="n"/>
      <c r="F312" s="10">
        <f>IF(OR(D312="",D312=0),"",(E312-D312)/D312)</f>
        <v/>
      </c>
    </row>
    <row r="313">
      <c r="A313" s="4" t="n"/>
      <c r="D313" s="7" t="n"/>
      <c r="E313" s="7" t="n"/>
      <c r="F313" s="10">
        <f>IF(OR(D313="",D313=0),"",(E313-D313)/D313)</f>
        <v/>
      </c>
    </row>
    <row r="314">
      <c r="A314" s="4" t="n"/>
      <c r="D314" s="7" t="n"/>
      <c r="E314" s="7" t="n"/>
      <c r="F314" s="10">
        <f>IF(OR(D314="",D314=0),"",(E314-D314)/D314)</f>
        <v/>
      </c>
    </row>
    <row r="315">
      <c r="A315" s="4" t="n"/>
      <c r="D315" s="7" t="n"/>
      <c r="E315" s="7" t="n"/>
      <c r="F315" s="10">
        <f>IF(OR(D315="",D315=0),"",(E315-D315)/D315)</f>
        <v/>
      </c>
    </row>
    <row r="316">
      <c r="A316" s="4" t="n"/>
      <c r="D316" s="7" t="n"/>
      <c r="E316" s="7" t="n"/>
      <c r="F316" s="10">
        <f>IF(OR(D316="",D316=0),"",(E316-D316)/D316)</f>
        <v/>
      </c>
    </row>
    <row r="317">
      <c r="A317" s="4" t="n"/>
      <c r="D317" s="7" t="n"/>
      <c r="E317" s="7" t="n"/>
      <c r="F317" s="10">
        <f>IF(OR(D317="",D317=0),"",(E317-D317)/D317)</f>
        <v/>
      </c>
    </row>
    <row r="318">
      <c r="A318" s="4" t="n"/>
      <c r="D318" s="7" t="n"/>
      <c r="E318" s="7" t="n"/>
      <c r="F318" s="10">
        <f>IF(OR(D318="",D318=0),"",(E318-D318)/D318)</f>
        <v/>
      </c>
    </row>
    <row r="319">
      <c r="A319" s="4" t="n"/>
      <c r="D319" s="7" t="n"/>
      <c r="E319" s="7" t="n"/>
      <c r="F319" s="10">
        <f>IF(OR(D319="",D319=0),"",(E319-D319)/D319)</f>
        <v/>
      </c>
    </row>
    <row r="320">
      <c r="A320" s="4" t="n"/>
      <c r="D320" s="7" t="n"/>
      <c r="E320" s="7" t="n"/>
      <c r="F320" s="10">
        <f>IF(OR(D320="",D320=0),"",(E320-D320)/D320)</f>
        <v/>
      </c>
    </row>
    <row r="321">
      <c r="A321" s="4" t="n"/>
      <c r="D321" s="7" t="n"/>
      <c r="E321" s="7" t="n"/>
      <c r="F321" s="10">
        <f>IF(OR(D321="",D321=0),"",(E321-D321)/D321)</f>
        <v/>
      </c>
    </row>
    <row r="322">
      <c r="A322" s="4" t="n"/>
      <c r="D322" s="7" t="n"/>
      <c r="E322" s="7" t="n"/>
      <c r="F322" s="10">
        <f>IF(OR(D322="",D322=0),"",(E322-D322)/D322)</f>
        <v/>
      </c>
    </row>
    <row r="323">
      <c r="A323" s="4" t="n"/>
      <c r="D323" s="7" t="n"/>
      <c r="E323" s="7" t="n"/>
      <c r="F323" s="10">
        <f>IF(OR(D323="",D323=0),"",(E323-D323)/D323)</f>
        <v/>
      </c>
    </row>
    <row r="324">
      <c r="A324" s="4" t="n"/>
      <c r="D324" s="7" t="n"/>
      <c r="E324" s="7" t="n"/>
      <c r="F324" s="10">
        <f>IF(OR(D324="",D324=0),"",(E324-D324)/D324)</f>
        <v/>
      </c>
    </row>
    <row r="325">
      <c r="A325" s="4" t="n"/>
      <c r="D325" s="7" t="n"/>
      <c r="E325" s="7" t="n"/>
      <c r="F325" s="10">
        <f>IF(OR(D325="",D325=0),"",(E325-D325)/D325)</f>
        <v/>
      </c>
    </row>
    <row r="326">
      <c r="A326" s="4" t="n"/>
      <c r="D326" s="7" t="n"/>
      <c r="E326" s="7" t="n"/>
      <c r="F326" s="10">
        <f>IF(OR(D326="",D326=0),"",(E326-D326)/D326)</f>
        <v/>
      </c>
    </row>
    <row r="327">
      <c r="A327" s="4" t="n"/>
      <c r="D327" s="7" t="n"/>
      <c r="E327" s="7" t="n"/>
      <c r="F327" s="10">
        <f>IF(OR(D327="",D327=0),"",(E327-D327)/D327)</f>
        <v/>
      </c>
    </row>
    <row r="328">
      <c r="A328" s="4" t="n"/>
      <c r="D328" s="7" t="n"/>
      <c r="E328" s="7" t="n"/>
      <c r="F328" s="10">
        <f>IF(OR(D328="",D328=0),"",(E328-D328)/D328)</f>
        <v/>
      </c>
    </row>
    <row r="329">
      <c r="A329" s="4" t="n"/>
      <c r="D329" s="7" t="n"/>
      <c r="E329" s="7" t="n"/>
      <c r="F329" s="10">
        <f>IF(OR(D329="",D329=0),"",(E329-D329)/D329)</f>
        <v/>
      </c>
    </row>
    <row r="330">
      <c r="A330" s="4" t="n"/>
      <c r="D330" s="7" t="n"/>
      <c r="E330" s="7" t="n"/>
      <c r="F330" s="10">
        <f>IF(OR(D330="",D330=0),"",(E330-D330)/D330)</f>
        <v/>
      </c>
    </row>
    <row r="331">
      <c r="A331" s="4" t="n"/>
      <c r="D331" s="7" t="n"/>
      <c r="E331" s="7" t="n"/>
      <c r="F331" s="10">
        <f>IF(OR(D331="",D331=0),"",(E331-D331)/D331)</f>
        <v/>
      </c>
    </row>
    <row r="332">
      <c r="A332" s="4" t="n"/>
      <c r="D332" s="7" t="n"/>
      <c r="E332" s="7" t="n"/>
      <c r="F332" s="10">
        <f>IF(OR(D332="",D332=0),"",(E332-D332)/D332)</f>
        <v/>
      </c>
    </row>
    <row r="333">
      <c r="A333" s="4" t="n"/>
      <c r="D333" s="7" t="n"/>
      <c r="E333" s="7" t="n"/>
      <c r="F333" s="10">
        <f>IF(OR(D333="",D333=0),"",(E333-D333)/D333)</f>
        <v/>
      </c>
    </row>
    <row r="334">
      <c r="A334" s="4" t="n"/>
      <c r="D334" s="7" t="n"/>
      <c r="E334" s="7" t="n"/>
      <c r="F334" s="10">
        <f>IF(OR(D334="",D334=0),"",(E334-D334)/D334)</f>
        <v/>
      </c>
    </row>
    <row r="335">
      <c r="A335" s="4" t="n"/>
      <c r="D335" s="7" t="n"/>
      <c r="E335" s="7" t="n"/>
      <c r="F335" s="10">
        <f>IF(OR(D335="",D335=0),"",(E335-D335)/D335)</f>
        <v/>
      </c>
    </row>
    <row r="336">
      <c r="A336" s="4" t="n"/>
      <c r="D336" s="7" t="n"/>
      <c r="E336" s="7" t="n"/>
      <c r="F336" s="10">
        <f>IF(OR(D336="",D336=0),"",(E336-D336)/D336)</f>
        <v/>
      </c>
    </row>
    <row r="337">
      <c r="A337" s="4" t="n"/>
      <c r="D337" s="7" t="n"/>
      <c r="E337" s="7" t="n"/>
      <c r="F337" s="10">
        <f>IF(OR(D337="",D337=0),"",(E337-D337)/D337)</f>
        <v/>
      </c>
    </row>
    <row r="338">
      <c r="A338" s="4" t="n"/>
      <c r="D338" s="7" t="n"/>
      <c r="E338" s="7" t="n"/>
      <c r="F338" s="10">
        <f>IF(OR(D338="",D338=0),"",(E338-D338)/D338)</f>
        <v/>
      </c>
    </row>
    <row r="339">
      <c r="A339" s="4" t="n"/>
      <c r="D339" s="7" t="n"/>
      <c r="E339" s="7" t="n"/>
      <c r="F339" s="10">
        <f>IF(OR(D339="",D339=0),"",(E339-D339)/D339)</f>
        <v/>
      </c>
    </row>
    <row r="340">
      <c r="A340" s="4" t="n"/>
      <c r="D340" s="7" t="n"/>
      <c r="E340" s="7" t="n"/>
      <c r="F340" s="10">
        <f>IF(OR(D340="",D340=0),"",(E340-D340)/D340)</f>
        <v/>
      </c>
    </row>
    <row r="341">
      <c r="A341" s="4" t="n"/>
      <c r="D341" s="7" t="n"/>
      <c r="E341" s="7" t="n"/>
      <c r="F341" s="10">
        <f>IF(OR(D341="",D341=0),"",(E341-D341)/D341)</f>
        <v/>
      </c>
    </row>
    <row r="342">
      <c r="A342" s="4" t="n"/>
      <c r="D342" s="7" t="n"/>
      <c r="E342" s="7" t="n"/>
      <c r="F342" s="10">
        <f>IF(OR(D342="",D342=0),"",(E342-D342)/D342)</f>
        <v/>
      </c>
    </row>
    <row r="343">
      <c r="A343" s="4" t="n"/>
      <c r="D343" s="7" t="n"/>
      <c r="E343" s="7" t="n"/>
      <c r="F343" s="10">
        <f>IF(OR(D343="",D343=0),"",(E343-D343)/D343)</f>
        <v/>
      </c>
    </row>
    <row r="344">
      <c r="A344" s="4" t="n"/>
      <c r="D344" s="7" t="n"/>
      <c r="E344" s="7" t="n"/>
      <c r="F344" s="10">
        <f>IF(OR(D344="",D344=0),"",(E344-D344)/D344)</f>
        <v/>
      </c>
    </row>
    <row r="345">
      <c r="A345" s="4" t="n"/>
      <c r="D345" s="7" t="n"/>
      <c r="E345" s="7" t="n"/>
      <c r="F345" s="10">
        <f>IF(OR(D345="",D345=0),"",(E345-D345)/D345)</f>
        <v/>
      </c>
    </row>
    <row r="346">
      <c r="A346" s="4" t="n"/>
      <c r="D346" s="7" t="n"/>
      <c r="E346" s="7" t="n"/>
      <c r="F346" s="10">
        <f>IF(OR(D346="",D346=0),"",(E346-D346)/D346)</f>
        <v/>
      </c>
    </row>
    <row r="347">
      <c r="A347" s="4" t="n"/>
      <c r="D347" s="7" t="n"/>
      <c r="E347" s="7" t="n"/>
      <c r="F347" s="10">
        <f>IF(OR(D347="",D347=0),"",(E347-D347)/D347)</f>
        <v/>
      </c>
    </row>
    <row r="348">
      <c r="A348" s="4" t="n"/>
      <c r="D348" s="7" t="n"/>
      <c r="E348" s="7" t="n"/>
      <c r="F348" s="10">
        <f>IF(OR(D348="",D348=0),"",(E348-D348)/D348)</f>
        <v/>
      </c>
    </row>
    <row r="349">
      <c r="A349" s="4" t="n"/>
      <c r="D349" s="7" t="n"/>
      <c r="E349" s="7" t="n"/>
      <c r="F349" s="10">
        <f>IF(OR(D349="",D349=0),"",(E349-D349)/D349)</f>
        <v/>
      </c>
    </row>
    <row r="350">
      <c r="A350" s="4" t="n"/>
      <c r="D350" s="7" t="n"/>
      <c r="E350" s="7" t="n"/>
      <c r="F350" s="10">
        <f>IF(OR(D350="",D350=0),"",(E350-D350)/D350)</f>
        <v/>
      </c>
    </row>
    <row r="351">
      <c r="A351" s="4" t="n"/>
      <c r="D351" s="7" t="n"/>
      <c r="E351" s="7" t="n"/>
      <c r="F351" s="10">
        <f>IF(OR(D351="",D351=0),"",(E351-D351)/D351)</f>
        <v/>
      </c>
    </row>
    <row r="352">
      <c r="A352" s="4" t="n"/>
      <c r="D352" s="7" t="n"/>
      <c r="E352" s="7" t="n"/>
      <c r="F352" s="10">
        <f>IF(OR(D352="",D352=0),"",(E352-D352)/D352)</f>
        <v/>
      </c>
    </row>
    <row r="353">
      <c r="A353" s="4" t="n"/>
      <c r="D353" s="7" t="n"/>
      <c r="E353" s="7" t="n"/>
      <c r="F353" s="10">
        <f>IF(OR(D353="",D353=0),"",(E353-D353)/D353)</f>
        <v/>
      </c>
    </row>
    <row r="354">
      <c r="A354" s="4" t="n"/>
      <c r="D354" s="7" t="n"/>
      <c r="E354" s="7" t="n"/>
      <c r="F354" s="10">
        <f>IF(OR(D354="",D354=0),"",(E354-D354)/D354)</f>
        <v/>
      </c>
    </row>
    <row r="355">
      <c r="A355" s="4" t="n"/>
      <c r="D355" s="7" t="n"/>
      <c r="E355" s="7" t="n"/>
      <c r="F355" s="10">
        <f>IF(OR(D355="",D355=0),"",(E355-D355)/D355)</f>
        <v/>
      </c>
    </row>
    <row r="356">
      <c r="A356" s="4" t="n"/>
      <c r="D356" s="7" t="n"/>
      <c r="E356" s="7" t="n"/>
      <c r="F356" s="10">
        <f>IF(OR(D356="",D356=0),"",(E356-D356)/D356)</f>
        <v/>
      </c>
    </row>
    <row r="357">
      <c r="A357" s="4" t="n"/>
      <c r="D357" s="7" t="n"/>
      <c r="E357" s="7" t="n"/>
      <c r="F357" s="10">
        <f>IF(OR(D357="",D357=0),"",(E357-D357)/D357)</f>
        <v/>
      </c>
    </row>
    <row r="358">
      <c r="A358" s="4" t="n"/>
      <c r="D358" s="7" t="n"/>
      <c r="E358" s="7" t="n"/>
      <c r="F358" s="10">
        <f>IF(OR(D358="",D358=0),"",(E358-D358)/D358)</f>
        <v/>
      </c>
    </row>
    <row r="359">
      <c r="A359" s="4" t="n"/>
      <c r="D359" s="7" t="n"/>
      <c r="E359" s="7" t="n"/>
      <c r="F359" s="10">
        <f>IF(OR(D359="",D359=0),"",(E359-D359)/D359)</f>
        <v/>
      </c>
    </row>
    <row r="360">
      <c r="A360" s="4" t="n"/>
      <c r="D360" s="7" t="n"/>
      <c r="E360" s="7" t="n"/>
      <c r="F360" s="10">
        <f>IF(OR(D360="",D360=0),"",(E360-D360)/D360)</f>
        <v/>
      </c>
    </row>
    <row r="361">
      <c r="A361" s="4" t="n"/>
      <c r="D361" s="7" t="n"/>
      <c r="E361" s="7" t="n"/>
      <c r="F361" s="10">
        <f>IF(OR(D361="",D361=0),"",(E361-D361)/D361)</f>
        <v/>
      </c>
    </row>
    <row r="362">
      <c r="A362" s="4" t="n"/>
      <c r="D362" s="7" t="n"/>
      <c r="E362" s="7" t="n"/>
      <c r="F362" s="10">
        <f>IF(OR(D362="",D362=0),"",(E362-D362)/D362)</f>
        <v/>
      </c>
    </row>
    <row r="363">
      <c r="A363" s="4" t="n"/>
      <c r="D363" s="7" t="n"/>
      <c r="E363" s="7" t="n"/>
      <c r="F363" s="10">
        <f>IF(OR(D363="",D363=0),"",(E363-D363)/D363)</f>
        <v/>
      </c>
    </row>
    <row r="364">
      <c r="A364" s="4" t="n"/>
      <c r="D364" s="7" t="n"/>
      <c r="E364" s="7" t="n"/>
      <c r="F364" s="10">
        <f>IF(OR(D364="",D364=0),"",(E364-D364)/D364)</f>
        <v/>
      </c>
    </row>
    <row r="365">
      <c r="A365" s="4" t="n"/>
      <c r="D365" s="7" t="n"/>
      <c r="E365" s="7" t="n"/>
      <c r="F365" s="10">
        <f>IF(OR(D365="",D365=0),"",(E365-D365)/D365)</f>
        <v/>
      </c>
    </row>
    <row r="366">
      <c r="A366" s="4" t="n"/>
      <c r="D366" s="7" t="n"/>
      <c r="E366" s="7" t="n"/>
      <c r="F366" s="10">
        <f>IF(OR(D366="",D366=0),"",(E366-D366)/D366)</f>
        <v/>
      </c>
    </row>
    <row r="367">
      <c r="A367" s="4" t="n"/>
      <c r="D367" s="7" t="n"/>
      <c r="E367" s="7" t="n"/>
      <c r="F367" s="10">
        <f>IF(OR(D367="",D367=0),"",(E367-D367)/D367)</f>
        <v/>
      </c>
    </row>
    <row r="368">
      <c r="A368" s="4" t="n"/>
      <c r="D368" s="7" t="n"/>
      <c r="E368" s="7" t="n"/>
      <c r="F368" s="10">
        <f>IF(OR(D368="",D368=0),"",(E368-D368)/D368)</f>
        <v/>
      </c>
    </row>
    <row r="369">
      <c r="A369" s="4" t="n"/>
      <c r="D369" s="7" t="n"/>
      <c r="E369" s="7" t="n"/>
      <c r="F369" s="10">
        <f>IF(OR(D369="",D369=0),"",(E369-D369)/D369)</f>
        <v/>
      </c>
    </row>
    <row r="370">
      <c r="A370" s="4" t="n"/>
      <c r="D370" s="7" t="n"/>
      <c r="E370" s="7" t="n"/>
      <c r="F370" s="10">
        <f>IF(OR(D370="",D370=0),"",(E370-D370)/D370)</f>
        <v/>
      </c>
    </row>
    <row r="371">
      <c r="A371" s="4" t="n"/>
      <c r="D371" s="7" t="n"/>
      <c r="E371" s="7" t="n"/>
      <c r="F371" s="10">
        <f>IF(OR(D371="",D371=0),"",(E371-D371)/D371)</f>
        <v/>
      </c>
    </row>
    <row r="372">
      <c r="A372" s="4" t="n"/>
      <c r="D372" s="7" t="n"/>
      <c r="E372" s="7" t="n"/>
      <c r="F372" s="10">
        <f>IF(OR(D372="",D372=0),"",(E372-D372)/D372)</f>
        <v/>
      </c>
    </row>
    <row r="373">
      <c r="A373" s="4" t="n"/>
      <c r="D373" s="7" t="n"/>
      <c r="E373" s="7" t="n"/>
      <c r="F373" s="10">
        <f>IF(OR(D373="",D373=0),"",(E373-D373)/D373)</f>
        <v/>
      </c>
    </row>
    <row r="374">
      <c r="A374" s="4" t="n"/>
      <c r="D374" s="7" t="n"/>
      <c r="E374" s="7" t="n"/>
      <c r="F374" s="10">
        <f>IF(OR(D374="",D374=0),"",(E374-D374)/D374)</f>
        <v/>
      </c>
    </row>
    <row r="375">
      <c r="A375" s="4" t="n"/>
      <c r="D375" s="7" t="n"/>
      <c r="E375" s="7" t="n"/>
      <c r="F375" s="10">
        <f>IF(OR(D375="",D375=0),"",(E375-D375)/D375)</f>
        <v/>
      </c>
    </row>
    <row r="376">
      <c r="A376" s="4" t="n"/>
      <c r="D376" s="7" t="n"/>
      <c r="E376" s="7" t="n"/>
      <c r="F376" s="10">
        <f>IF(OR(D376="",D376=0),"",(E376-D376)/D376)</f>
        <v/>
      </c>
    </row>
    <row r="377">
      <c r="A377" s="4" t="n"/>
      <c r="D377" s="7" t="n"/>
      <c r="E377" s="7" t="n"/>
      <c r="F377" s="10">
        <f>IF(OR(D377="",D377=0),"",(E377-D377)/D377)</f>
        <v/>
      </c>
    </row>
    <row r="378">
      <c r="A378" s="4" t="n"/>
      <c r="D378" s="7" t="n"/>
      <c r="E378" s="7" t="n"/>
      <c r="F378" s="10">
        <f>IF(OR(D378="",D378=0),"",(E378-D378)/D378)</f>
        <v/>
      </c>
    </row>
    <row r="379">
      <c r="A379" s="4" t="n"/>
      <c r="D379" s="7" t="n"/>
      <c r="E379" s="7" t="n"/>
      <c r="F379" s="10">
        <f>IF(OR(D379="",D379=0),"",(E379-D379)/D379)</f>
        <v/>
      </c>
    </row>
    <row r="380">
      <c r="A380" s="4" t="n"/>
      <c r="D380" s="7" t="n"/>
      <c r="E380" s="7" t="n"/>
      <c r="F380" s="10">
        <f>IF(OR(D380="",D380=0),"",(E380-D380)/D380)</f>
        <v/>
      </c>
    </row>
    <row r="381">
      <c r="A381" s="4" t="n"/>
      <c r="D381" s="7" t="n"/>
      <c r="E381" s="7" t="n"/>
      <c r="F381" s="10">
        <f>IF(OR(D381="",D381=0),"",(E381-D381)/D381)</f>
        <v/>
      </c>
    </row>
    <row r="382">
      <c r="A382" s="4" t="n"/>
      <c r="D382" s="7" t="n"/>
      <c r="E382" s="7" t="n"/>
      <c r="F382" s="10">
        <f>IF(OR(D382="",D382=0),"",(E382-D382)/D382)</f>
        <v/>
      </c>
    </row>
    <row r="383">
      <c r="A383" s="4" t="n"/>
      <c r="D383" s="7" t="n"/>
      <c r="E383" s="7" t="n"/>
      <c r="F383" s="10">
        <f>IF(OR(D383="",D383=0),"",(E383-D383)/D383)</f>
        <v/>
      </c>
    </row>
    <row r="384">
      <c r="A384" s="4" t="n"/>
      <c r="D384" s="7" t="n"/>
      <c r="E384" s="7" t="n"/>
      <c r="F384" s="10">
        <f>IF(OR(D384="",D384=0),"",(E384-D384)/D384)</f>
        <v/>
      </c>
    </row>
    <row r="385">
      <c r="A385" s="4" t="n"/>
      <c r="D385" s="7" t="n"/>
      <c r="E385" s="7" t="n"/>
      <c r="F385" s="10">
        <f>IF(OR(D385="",D385=0),"",(E385-D385)/D385)</f>
        <v/>
      </c>
    </row>
    <row r="386">
      <c r="A386" s="4" t="n"/>
      <c r="D386" s="7" t="n"/>
      <c r="E386" s="7" t="n"/>
      <c r="F386" s="10">
        <f>IF(OR(D386="",D386=0),"",(E386-D386)/D386)</f>
        <v/>
      </c>
    </row>
    <row r="387">
      <c r="A387" s="4" t="n"/>
      <c r="D387" s="7" t="n"/>
      <c r="E387" s="7" t="n"/>
      <c r="F387" s="10">
        <f>IF(OR(D387="",D387=0),"",(E387-D387)/D387)</f>
        <v/>
      </c>
    </row>
    <row r="388">
      <c r="A388" s="4" t="n"/>
      <c r="D388" s="7" t="n"/>
      <c r="E388" s="7" t="n"/>
      <c r="F388" s="10">
        <f>IF(OR(D388="",D388=0),"",(E388-D388)/D388)</f>
        <v/>
      </c>
    </row>
    <row r="389">
      <c r="A389" s="4" t="n"/>
      <c r="D389" s="7" t="n"/>
      <c r="E389" s="7" t="n"/>
      <c r="F389" s="10">
        <f>IF(OR(D389="",D389=0),"",(E389-D389)/D389)</f>
        <v/>
      </c>
    </row>
    <row r="390">
      <c r="A390" s="4" t="n"/>
      <c r="D390" s="7" t="n"/>
      <c r="E390" s="7" t="n"/>
      <c r="F390" s="10">
        <f>IF(OR(D390="",D390=0),"",(E390-D390)/D390)</f>
        <v/>
      </c>
    </row>
    <row r="391">
      <c r="A391" s="4" t="n"/>
      <c r="D391" s="7" t="n"/>
      <c r="E391" s="7" t="n"/>
      <c r="F391" s="10">
        <f>IF(OR(D391="",D391=0),"",(E391-D391)/D391)</f>
        <v/>
      </c>
    </row>
    <row r="392">
      <c r="A392" s="4" t="n"/>
      <c r="D392" s="7" t="n"/>
      <c r="E392" s="7" t="n"/>
      <c r="F392" s="10">
        <f>IF(OR(D392="",D392=0),"",(E392-D392)/D392)</f>
        <v/>
      </c>
    </row>
    <row r="393">
      <c r="A393" s="4" t="n"/>
      <c r="D393" s="7" t="n"/>
      <c r="E393" s="7" t="n"/>
      <c r="F393" s="10">
        <f>IF(OR(D393="",D393=0),"",(E393-D393)/D393)</f>
        <v/>
      </c>
    </row>
    <row r="394">
      <c r="A394" s="4" t="n"/>
      <c r="D394" s="7" t="n"/>
      <c r="E394" s="7" t="n"/>
      <c r="F394" s="10">
        <f>IF(OR(D394="",D394=0),"",(E394-D394)/D394)</f>
        <v/>
      </c>
    </row>
    <row r="395">
      <c r="A395" s="4" t="n"/>
      <c r="D395" s="7" t="n"/>
      <c r="E395" s="7" t="n"/>
      <c r="F395" s="10">
        <f>IF(OR(D395="",D395=0),"",(E395-D395)/D395)</f>
        <v/>
      </c>
    </row>
    <row r="396">
      <c r="A396" s="4" t="n"/>
      <c r="D396" s="7" t="n"/>
      <c r="E396" s="7" t="n"/>
      <c r="F396" s="10">
        <f>IF(OR(D396="",D396=0),"",(E396-D396)/D396)</f>
        <v/>
      </c>
    </row>
    <row r="397">
      <c r="A397" s="4" t="n"/>
      <c r="D397" s="7" t="n"/>
      <c r="E397" s="7" t="n"/>
      <c r="F397" s="10">
        <f>IF(OR(D397="",D397=0),"",(E397-D397)/D397)</f>
        <v/>
      </c>
    </row>
    <row r="398">
      <c r="A398" s="4" t="n"/>
      <c r="D398" s="7" t="n"/>
      <c r="E398" s="7" t="n"/>
      <c r="F398" s="10">
        <f>IF(OR(D398="",D398=0),"",(E398-D398)/D398)</f>
        <v/>
      </c>
    </row>
    <row r="399">
      <c r="A399" s="4" t="n"/>
      <c r="D399" s="7" t="n"/>
      <c r="E399" s="7" t="n"/>
      <c r="F399" s="10">
        <f>IF(OR(D399="",D399=0),"",(E399-D399)/D399)</f>
        <v/>
      </c>
    </row>
    <row r="400">
      <c r="A400" s="4" t="n"/>
      <c r="D400" s="7" t="n"/>
      <c r="E400" s="7" t="n"/>
      <c r="F400" s="10">
        <f>IF(OR(D400="",D400=0),"",(E400-D400)/D400)</f>
        <v/>
      </c>
    </row>
    <row r="401">
      <c r="A401" s="4" t="n"/>
      <c r="D401" s="7" t="n"/>
      <c r="E401" s="7" t="n"/>
      <c r="F401" s="10">
        <f>IF(OR(D401="",D401=0),"",(E401-D401)/D401)</f>
        <v/>
      </c>
    </row>
    <row r="402">
      <c r="A402" s="4" t="n"/>
      <c r="D402" s="7" t="n"/>
      <c r="E402" s="7" t="n"/>
      <c r="F402" s="10">
        <f>IF(OR(D402="",D402=0),"",(E402-D402)/D402)</f>
        <v/>
      </c>
    </row>
    <row r="403">
      <c r="A403" s="4" t="n"/>
      <c r="D403" s="7" t="n"/>
      <c r="E403" s="7" t="n"/>
      <c r="F403" s="10">
        <f>IF(OR(D403="",D403=0),"",(E403-D403)/D403)</f>
        <v/>
      </c>
    </row>
    <row r="404">
      <c r="A404" s="4" t="n"/>
      <c r="D404" s="7" t="n"/>
      <c r="E404" s="7" t="n"/>
      <c r="F404" s="10">
        <f>IF(OR(D404="",D404=0),"",(E404-D404)/D404)</f>
        <v/>
      </c>
    </row>
    <row r="405">
      <c r="A405" s="4" t="n"/>
      <c r="D405" s="7" t="n"/>
      <c r="E405" s="7" t="n"/>
      <c r="F405" s="10">
        <f>IF(OR(D405="",D405=0),"",(E405-D405)/D405)</f>
        <v/>
      </c>
    </row>
    <row r="406">
      <c r="A406" s="4" t="n"/>
      <c r="D406" s="7" t="n"/>
      <c r="E406" s="7" t="n"/>
      <c r="F406" s="10">
        <f>IF(OR(D406="",D406=0),"",(E406-D406)/D406)</f>
        <v/>
      </c>
    </row>
    <row r="407">
      <c r="A407" s="4" t="n"/>
      <c r="D407" s="7" t="n"/>
      <c r="E407" s="7" t="n"/>
      <c r="F407" s="10">
        <f>IF(OR(D407="",D407=0),"",(E407-D407)/D407)</f>
        <v/>
      </c>
    </row>
    <row r="408">
      <c r="A408" s="4" t="n"/>
      <c r="D408" s="7" t="n"/>
      <c r="E408" s="7" t="n"/>
      <c r="F408" s="10">
        <f>IF(OR(D408="",D408=0),"",(E408-D408)/D408)</f>
        <v/>
      </c>
    </row>
    <row r="409">
      <c r="A409" s="4" t="n"/>
      <c r="D409" s="7" t="n"/>
      <c r="E409" s="7" t="n"/>
      <c r="F409" s="10">
        <f>IF(OR(D409="",D409=0),"",(E409-D409)/D409)</f>
        <v/>
      </c>
    </row>
    <row r="410">
      <c r="A410" s="4" t="n"/>
      <c r="D410" s="7" t="n"/>
      <c r="E410" s="7" t="n"/>
      <c r="F410" s="10">
        <f>IF(OR(D410="",D410=0),"",(E410-D410)/D410)</f>
        <v/>
      </c>
    </row>
    <row r="411">
      <c r="A411" s="4" t="n"/>
      <c r="D411" s="7" t="n"/>
      <c r="E411" s="7" t="n"/>
      <c r="F411" s="10">
        <f>IF(OR(D411="",D411=0),"",(E411-D411)/D411)</f>
        <v/>
      </c>
    </row>
    <row r="412">
      <c r="A412" s="4" t="n"/>
      <c r="D412" s="7" t="n"/>
      <c r="E412" s="7" t="n"/>
      <c r="F412" s="10">
        <f>IF(OR(D412="",D412=0),"",(E412-D412)/D412)</f>
        <v/>
      </c>
    </row>
    <row r="413">
      <c r="A413" s="4" t="n"/>
      <c r="D413" s="7" t="n"/>
      <c r="E413" s="7" t="n"/>
      <c r="F413" s="10">
        <f>IF(OR(D413="",D413=0),"",(E413-D413)/D413)</f>
        <v/>
      </c>
    </row>
    <row r="414">
      <c r="A414" s="4" t="n"/>
      <c r="D414" s="7" t="n"/>
      <c r="E414" s="7" t="n"/>
      <c r="F414" s="10">
        <f>IF(OR(D414="",D414=0),"",(E414-D414)/D414)</f>
        <v/>
      </c>
    </row>
    <row r="415">
      <c r="A415" s="4" t="n"/>
      <c r="D415" s="7" t="n"/>
      <c r="E415" s="7" t="n"/>
      <c r="F415" s="10">
        <f>IF(OR(D415="",D415=0),"",(E415-D415)/D415)</f>
        <v/>
      </c>
    </row>
    <row r="416">
      <c r="A416" s="4" t="n"/>
      <c r="D416" s="7" t="n"/>
      <c r="E416" s="7" t="n"/>
      <c r="F416" s="10">
        <f>IF(OR(D416="",D416=0),"",(E416-D416)/D416)</f>
        <v/>
      </c>
    </row>
    <row r="417">
      <c r="A417" s="4" t="n"/>
      <c r="D417" s="7" t="n"/>
      <c r="E417" s="7" t="n"/>
      <c r="F417" s="10">
        <f>IF(OR(D417="",D417=0),"",(E417-D417)/D417)</f>
        <v/>
      </c>
    </row>
    <row r="418">
      <c r="A418" s="4" t="n"/>
      <c r="D418" s="7" t="n"/>
      <c r="E418" s="7" t="n"/>
      <c r="F418" s="10">
        <f>IF(OR(D418="",D418=0),"",(E418-D418)/D418)</f>
        <v/>
      </c>
    </row>
    <row r="419">
      <c r="A419" s="4" t="n"/>
      <c r="D419" s="7" t="n"/>
      <c r="E419" s="7" t="n"/>
      <c r="F419" s="10">
        <f>IF(OR(D419="",D419=0),"",(E419-D419)/D419)</f>
        <v/>
      </c>
    </row>
    <row r="420">
      <c r="A420" s="4" t="n"/>
      <c r="D420" s="7" t="n"/>
      <c r="E420" s="7" t="n"/>
      <c r="F420" s="10">
        <f>IF(OR(D420="",D420=0),"",(E420-D420)/D420)</f>
        <v/>
      </c>
    </row>
    <row r="421">
      <c r="A421" s="4" t="n"/>
      <c r="D421" s="7" t="n"/>
      <c r="E421" s="7" t="n"/>
      <c r="F421" s="10">
        <f>IF(OR(D421="",D421=0),"",(E421-D421)/D421)</f>
        <v/>
      </c>
    </row>
    <row r="422">
      <c r="A422" s="4" t="n"/>
      <c r="D422" s="7" t="n"/>
      <c r="E422" s="7" t="n"/>
      <c r="F422" s="10">
        <f>IF(OR(D422="",D422=0),"",(E422-D422)/D422)</f>
        <v/>
      </c>
    </row>
    <row r="423">
      <c r="A423" s="4" t="n"/>
      <c r="D423" s="7" t="n"/>
      <c r="E423" s="7" t="n"/>
      <c r="F423" s="10">
        <f>IF(OR(D423="",D423=0),"",(E423-D423)/D423)</f>
        <v/>
      </c>
    </row>
    <row r="424">
      <c r="A424" s="4" t="n"/>
      <c r="D424" s="7" t="n"/>
      <c r="E424" s="7" t="n"/>
      <c r="F424" s="10">
        <f>IF(OR(D424="",D424=0),"",(E424-D424)/D424)</f>
        <v/>
      </c>
    </row>
    <row r="425">
      <c r="A425" s="4" t="n"/>
      <c r="D425" s="7" t="n"/>
      <c r="E425" s="7" t="n"/>
      <c r="F425" s="10">
        <f>IF(OR(D425="",D425=0),"",(E425-D425)/D425)</f>
        <v/>
      </c>
    </row>
    <row r="426">
      <c r="A426" s="4" t="n"/>
      <c r="D426" s="7" t="n"/>
      <c r="E426" s="7" t="n"/>
      <c r="F426" s="10">
        <f>IF(OR(D426="",D426=0),"",(E426-D426)/D426)</f>
        <v/>
      </c>
    </row>
    <row r="427">
      <c r="A427" s="4" t="n"/>
      <c r="D427" s="7" t="n"/>
      <c r="E427" s="7" t="n"/>
      <c r="F427" s="10">
        <f>IF(OR(D427="",D427=0),"",(E427-D427)/D427)</f>
        <v/>
      </c>
    </row>
    <row r="428">
      <c r="A428" s="4" t="n"/>
      <c r="D428" s="7" t="n"/>
      <c r="E428" s="7" t="n"/>
      <c r="F428" s="10">
        <f>IF(OR(D428="",D428=0),"",(E428-D428)/D428)</f>
        <v/>
      </c>
    </row>
    <row r="429">
      <c r="A429" s="4" t="n"/>
      <c r="D429" s="7" t="n"/>
      <c r="E429" s="7" t="n"/>
      <c r="F429" s="10">
        <f>IF(OR(D429="",D429=0),"",(E429-D429)/D429)</f>
        <v/>
      </c>
    </row>
    <row r="430">
      <c r="A430" s="4" t="n"/>
      <c r="D430" s="7" t="n"/>
      <c r="E430" s="7" t="n"/>
      <c r="F430" s="10">
        <f>IF(OR(D430="",D430=0),"",(E430-D430)/D430)</f>
        <v/>
      </c>
    </row>
    <row r="431">
      <c r="A431" s="4" t="n"/>
      <c r="D431" s="7" t="n"/>
      <c r="E431" s="7" t="n"/>
      <c r="F431" s="10">
        <f>IF(OR(D431="",D431=0),"",(E431-D431)/D431)</f>
        <v/>
      </c>
    </row>
    <row r="432">
      <c r="A432" s="4" t="n"/>
      <c r="D432" s="7" t="n"/>
      <c r="E432" s="7" t="n"/>
      <c r="F432" s="10">
        <f>IF(OR(D432="",D432=0),"",(E432-D432)/D432)</f>
        <v/>
      </c>
    </row>
    <row r="433">
      <c r="A433" s="4" t="n"/>
      <c r="D433" s="7" t="n"/>
      <c r="E433" s="7" t="n"/>
      <c r="F433" s="10">
        <f>IF(OR(D433="",D433=0),"",(E433-D433)/D433)</f>
        <v/>
      </c>
    </row>
    <row r="434">
      <c r="A434" s="4" t="n"/>
      <c r="D434" s="7" t="n"/>
      <c r="E434" s="7" t="n"/>
      <c r="F434" s="10">
        <f>IF(OR(D434="",D434=0),"",(E434-D434)/D434)</f>
        <v/>
      </c>
    </row>
    <row r="435">
      <c r="A435" s="4" t="n"/>
      <c r="D435" s="7" t="n"/>
      <c r="E435" s="7" t="n"/>
      <c r="F435" s="10">
        <f>IF(OR(D435="",D435=0),"",(E435-D435)/D435)</f>
        <v/>
      </c>
    </row>
    <row r="436">
      <c r="A436" s="4" t="n"/>
      <c r="D436" s="7" t="n"/>
      <c r="E436" s="7" t="n"/>
      <c r="F436" s="10">
        <f>IF(OR(D436="",D436=0),"",(E436-D436)/D436)</f>
        <v/>
      </c>
    </row>
    <row r="437">
      <c r="A437" s="4" t="n"/>
      <c r="D437" s="7" t="n"/>
      <c r="E437" s="7" t="n"/>
      <c r="F437" s="10">
        <f>IF(OR(D437="",D437=0),"",(E437-D437)/D437)</f>
        <v/>
      </c>
    </row>
    <row r="438">
      <c r="A438" s="4" t="n"/>
      <c r="D438" s="7" t="n"/>
      <c r="E438" s="7" t="n"/>
      <c r="F438" s="10">
        <f>IF(OR(D438="",D438=0),"",(E438-D438)/D438)</f>
        <v/>
      </c>
    </row>
    <row r="439">
      <c r="A439" s="4" t="n"/>
      <c r="D439" s="7" t="n"/>
      <c r="E439" s="7" t="n"/>
      <c r="F439" s="10">
        <f>IF(OR(D439="",D439=0),"",(E439-D439)/D439)</f>
        <v/>
      </c>
    </row>
    <row r="440">
      <c r="A440" s="4" t="n"/>
      <c r="D440" s="7" t="n"/>
      <c r="E440" s="7" t="n"/>
      <c r="F440" s="10">
        <f>IF(OR(D440="",D440=0),"",(E440-D440)/D440)</f>
        <v/>
      </c>
    </row>
    <row r="441">
      <c r="A441" s="4" t="n"/>
      <c r="D441" s="7" t="n"/>
      <c r="E441" s="7" t="n"/>
      <c r="F441" s="10">
        <f>IF(OR(D441="",D441=0),"",(E441-D441)/D441)</f>
        <v/>
      </c>
    </row>
    <row r="442">
      <c r="A442" s="4" t="n"/>
      <c r="D442" s="7" t="n"/>
      <c r="E442" s="7" t="n"/>
      <c r="F442" s="10">
        <f>IF(OR(D442="",D442=0),"",(E442-D442)/D442)</f>
        <v/>
      </c>
    </row>
    <row r="443">
      <c r="A443" s="4" t="n"/>
      <c r="D443" s="7" t="n"/>
      <c r="E443" s="7" t="n"/>
      <c r="F443" s="10">
        <f>IF(OR(D443="",D443=0),"",(E443-D443)/D443)</f>
        <v/>
      </c>
    </row>
    <row r="444">
      <c r="A444" s="4" t="n"/>
      <c r="D444" s="7" t="n"/>
      <c r="E444" s="7" t="n"/>
      <c r="F444" s="10">
        <f>IF(OR(D444="",D444=0),"",(E444-D444)/D444)</f>
        <v/>
      </c>
    </row>
    <row r="445">
      <c r="A445" s="4" t="n"/>
      <c r="D445" s="7" t="n"/>
      <c r="E445" s="7" t="n"/>
      <c r="F445" s="10">
        <f>IF(OR(D445="",D445=0),"",(E445-D445)/D445)</f>
        <v/>
      </c>
    </row>
    <row r="446">
      <c r="A446" s="4" t="n"/>
      <c r="D446" s="7" t="n"/>
      <c r="E446" s="7" t="n"/>
      <c r="F446" s="10">
        <f>IF(OR(D446="",D446=0),"",(E446-D446)/D446)</f>
        <v/>
      </c>
    </row>
    <row r="447">
      <c r="A447" s="4" t="n"/>
      <c r="D447" s="7" t="n"/>
      <c r="E447" s="7" t="n"/>
      <c r="F447" s="10">
        <f>IF(OR(D447="",D447=0),"",(E447-D447)/D447)</f>
        <v/>
      </c>
    </row>
    <row r="448">
      <c r="A448" s="4" t="n"/>
      <c r="D448" s="7" t="n"/>
      <c r="E448" s="7" t="n"/>
      <c r="F448" s="10">
        <f>IF(OR(D448="",D448=0),"",(E448-D448)/D448)</f>
        <v/>
      </c>
    </row>
    <row r="449">
      <c r="A449" s="4" t="n"/>
      <c r="D449" s="7" t="n"/>
      <c r="E449" s="7" t="n"/>
      <c r="F449" s="10">
        <f>IF(OR(D449="",D449=0),"",(E449-D449)/D449)</f>
        <v/>
      </c>
    </row>
    <row r="450">
      <c r="A450" s="4" t="n"/>
      <c r="D450" s="7" t="n"/>
      <c r="E450" s="7" t="n"/>
      <c r="F450" s="10">
        <f>IF(OR(D450="",D450=0),"",(E450-D450)/D450)</f>
        <v/>
      </c>
    </row>
    <row r="451">
      <c r="A451" s="4" t="n"/>
      <c r="D451" s="7" t="n"/>
      <c r="E451" s="7" t="n"/>
      <c r="F451" s="10">
        <f>IF(OR(D451="",D451=0),"",(E451-D451)/D451)</f>
        <v/>
      </c>
    </row>
    <row r="452">
      <c r="A452" s="4" t="n"/>
      <c r="D452" s="7" t="n"/>
      <c r="E452" s="7" t="n"/>
      <c r="F452" s="10">
        <f>IF(OR(D452="",D452=0),"",(E452-D452)/D452)</f>
        <v/>
      </c>
    </row>
    <row r="453">
      <c r="A453" s="4" t="n"/>
      <c r="D453" s="7" t="n"/>
      <c r="E453" s="7" t="n"/>
      <c r="F453" s="10">
        <f>IF(OR(D453="",D453=0),"",(E453-D453)/D453)</f>
        <v/>
      </c>
    </row>
    <row r="454">
      <c r="A454" s="4" t="n"/>
      <c r="D454" s="7" t="n"/>
      <c r="E454" s="7" t="n"/>
      <c r="F454" s="10">
        <f>IF(OR(D454="",D454=0),"",(E454-D454)/D454)</f>
        <v/>
      </c>
    </row>
    <row r="455">
      <c r="A455" s="4" t="n"/>
      <c r="D455" s="7" t="n"/>
      <c r="E455" s="7" t="n"/>
      <c r="F455" s="10">
        <f>IF(OR(D455="",D455=0),"",(E455-D455)/D455)</f>
        <v/>
      </c>
    </row>
    <row r="456">
      <c r="A456" s="4" t="n"/>
      <c r="D456" s="7" t="n"/>
      <c r="E456" s="7" t="n"/>
      <c r="F456" s="10">
        <f>IF(OR(D456="",D456=0),"",(E456-D456)/D456)</f>
        <v/>
      </c>
    </row>
    <row r="457">
      <c r="A457" s="4" t="n"/>
      <c r="D457" s="7" t="n"/>
      <c r="E457" s="7" t="n"/>
      <c r="F457" s="10">
        <f>IF(OR(D457="",D457=0),"",(E457-D457)/D457)</f>
        <v/>
      </c>
    </row>
    <row r="458">
      <c r="A458" s="4" t="n"/>
      <c r="D458" s="7" t="n"/>
      <c r="E458" s="7" t="n"/>
      <c r="F458" s="10">
        <f>IF(OR(D458="",D458=0),"",(E458-D458)/D458)</f>
        <v/>
      </c>
    </row>
    <row r="459">
      <c r="A459" s="4" t="n"/>
      <c r="D459" s="7" t="n"/>
      <c r="E459" s="7" t="n"/>
      <c r="F459" s="10">
        <f>IF(OR(D459="",D459=0),"",(E459-D459)/D459)</f>
        <v/>
      </c>
    </row>
    <row r="460">
      <c r="A460" s="4" t="n"/>
      <c r="D460" s="7" t="n"/>
      <c r="E460" s="7" t="n"/>
      <c r="F460" s="10">
        <f>IF(OR(D460="",D460=0),"",(E460-D460)/D460)</f>
        <v/>
      </c>
    </row>
    <row r="461">
      <c r="A461" s="4" t="n"/>
      <c r="D461" s="7" t="n"/>
      <c r="E461" s="7" t="n"/>
      <c r="F461" s="10">
        <f>IF(OR(D461="",D461=0),"",(E461-D461)/D461)</f>
        <v/>
      </c>
    </row>
    <row r="462">
      <c r="A462" s="4" t="n"/>
      <c r="D462" s="7" t="n"/>
      <c r="E462" s="7" t="n"/>
      <c r="F462" s="10">
        <f>IF(OR(D462="",D462=0),"",(E462-D462)/D462)</f>
        <v/>
      </c>
    </row>
    <row r="463">
      <c r="A463" s="4" t="n"/>
      <c r="D463" s="7" t="n"/>
      <c r="E463" s="7" t="n"/>
      <c r="F463" s="10">
        <f>IF(OR(D463="",D463=0),"",(E463-D463)/D463)</f>
        <v/>
      </c>
    </row>
    <row r="464">
      <c r="A464" s="4" t="n"/>
      <c r="D464" s="7" t="n"/>
      <c r="E464" s="7" t="n"/>
      <c r="F464" s="10">
        <f>IF(OR(D464="",D464=0),"",(E464-D464)/D464)</f>
        <v/>
      </c>
    </row>
    <row r="465">
      <c r="A465" s="4" t="n"/>
      <c r="D465" s="7" t="n"/>
      <c r="E465" s="7" t="n"/>
      <c r="F465" s="10">
        <f>IF(OR(D465="",D465=0),"",(E465-D465)/D465)</f>
        <v/>
      </c>
    </row>
    <row r="466">
      <c r="A466" s="4" t="n"/>
      <c r="D466" s="7" t="n"/>
      <c r="E466" s="7" t="n"/>
      <c r="F466" s="10">
        <f>IF(OR(D466="",D466=0),"",(E466-D466)/D466)</f>
        <v/>
      </c>
    </row>
    <row r="467">
      <c r="A467" s="4" t="n"/>
      <c r="D467" s="7" t="n"/>
      <c r="E467" s="7" t="n"/>
      <c r="F467" s="10">
        <f>IF(OR(D467="",D467=0),"",(E467-D467)/D467)</f>
        <v/>
      </c>
    </row>
    <row r="468">
      <c r="A468" s="4" t="n"/>
      <c r="D468" s="7" t="n"/>
      <c r="E468" s="7" t="n"/>
      <c r="F468" s="10">
        <f>IF(OR(D468="",D468=0),"",(E468-D468)/D468)</f>
        <v/>
      </c>
    </row>
    <row r="469">
      <c r="A469" s="4" t="n"/>
      <c r="D469" s="7" t="n"/>
      <c r="E469" s="7" t="n"/>
      <c r="F469" s="10">
        <f>IF(OR(D469="",D469=0),"",(E469-D469)/D469)</f>
        <v/>
      </c>
    </row>
    <row r="470">
      <c r="A470" s="4" t="n"/>
      <c r="D470" s="7" t="n"/>
      <c r="E470" s="7" t="n"/>
      <c r="F470" s="10">
        <f>IF(OR(D470="",D470=0),"",(E470-D470)/D470)</f>
        <v/>
      </c>
    </row>
    <row r="471">
      <c r="A471" s="4" t="n"/>
      <c r="D471" s="7" t="n"/>
      <c r="E471" s="7" t="n"/>
      <c r="F471" s="10">
        <f>IF(OR(D471="",D471=0),"",(E471-D471)/D471)</f>
        <v/>
      </c>
    </row>
    <row r="472">
      <c r="A472" s="4" t="n"/>
      <c r="D472" s="7" t="n"/>
      <c r="E472" s="7" t="n"/>
      <c r="F472" s="10">
        <f>IF(OR(D472="",D472=0),"",(E472-D472)/D472)</f>
        <v/>
      </c>
    </row>
    <row r="473">
      <c r="A473" s="4" t="n"/>
      <c r="D473" s="7" t="n"/>
      <c r="E473" s="7" t="n"/>
      <c r="F473" s="10">
        <f>IF(OR(D473="",D473=0),"",(E473-D473)/D473)</f>
        <v/>
      </c>
    </row>
    <row r="474">
      <c r="A474" s="4" t="n"/>
      <c r="D474" s="7" t="n"/>
      <c r="E474" s="7" t="n"/>
      <c r="F474" s="10">
        <f>IF(OR(D474="",D474=0),"",(E474-D474)/D474)</f>
        <v/>
      </c>
    </row>
    <row r="475">
      <c r="A475" s="4" t="n"/>
      <c r="D475" s="7" t="n"/>
      <c r="E475" s="7" t="n"/>
      <c r="F475" s="10">
        <f>IF(OR(D475="",D475=0),"",(E475-D475)/D475)</f>
        <v/>
      </c>
    </row>
    <row r="476">
      <c r="A476" s="4" t="n"/>
      <c r="D476" s="7" t="n"/>
      <c r="E476" s="7" t="n"/>
      <c r="F476" s="10">
        <f>IF(OR(D476="",D476=0),"",(E476-D476)/D476)</f>
        <v/>
      </c>
    </row>
    <row r="477">
      <c r="A477" s="4" t="n"/>
      <c r="D477" s="7" t="n"/>
      <c r="E477" s="7" t="n"/>
      <c r="F477" s="10">
        <f>IF(OR(D477="",D477=0),"",(E477-D477)/D477)</f>
        <v/>
      </c>
    </row>
    <row r="478">
      <c r="A478" s="4" t="n"/>
      <c r="D478" s="7" t="n"/>
      <c r="E478" s="7" t="n"/>
      <c r="F478" s="10">
        <f>IF(OR(D478="",D478=0),"",(E478-D478)/D478)</f>
        <v/>
      </c>
    </row>
    <row r="479">
      <c r="A479" s="4" t="n"/>
      <c r="D479" s="7" t="n"/>
      <c r="E479" s="7" t="n"/>
      <c r="F479" s="10">
        <f>IF(OR(D479="",D479=0),"",(E479-D479)/D479)</f>
        <v/>
      </c>
    </row>
    <row r="480">
      <c r="A480" s="4" t="n"/>
      <c r="D480" s="7" t="n"/>
      <c r="E480" s="7" t="n"/>
      <c r="F480" s="10">
        <f>IF(OR(D480="",D480=0),"",(E480-D480)/D480)</f>
        <v/>
      </c>
    </row>
    <row r="481">
      <c r="A481" s="4" t="n"/>
      <c r="D481" s="7" t="n"/>
      <c r="E481" s="7" t="n"/>
      <c r="F481" s="10">
        <f>IF(OR(D481="",D481=0),"",(E481-D481)/D481)</f>
        <v/>
      </c>
    </row>
    <row r="482">
      <c r="A482" s="4" t="n"/>
      <c r="D482" s="7" t="n"/>
      <c r="E482" s="7" t="n"/>
      <c r="F482" s="10">
        <f>IF(OR(D482="",D482=0),"",(E482-D482)/D482)</f>
        <v/>
      </c>
    </row>
    <row r="483">
      <c r="A483" s="4" t="n"/>
      <c r="D483" s="7" t="n"/>
      <c r="E483" s="7" t="n"/>
      <c r="F483" s="10">
        <f>IF(OR(D483="",D483=0),"",(E483-D483)/D483)</f>
        <v/>
      </c>
    </row>
    <row r="484">
      <c r="A484" s="4" t="n"/>
      <c r="D484" s="7" t="n"/>
      <c r="E484" s="7" t="n"/>
      <c r="F484" s="10">
        <f>IF(OR(D484="",D484=0),"",(E484-D484)/D484)</f>
        <v/>
      </c>
    </row>
    <row r="485">
      <c r="A485" s="4" t="n"/>
      <c r="D485" s="7" t="n"/>
      <c r="E485" s="7" t="n"/>
      <c r="F485" s="10">
        <f>IF(OR(D485="",D485=0),"",(E485-D485)/D485)</f>
        <v/>
      </c>
    </row>
    <row r="486">
      <c r="A486" s="4" t="n"/>
      <c r="D486" s="7" t="n"/>
      <c r="E486" s="7" t="n"/>
      <c r="F486" s="10">
        <f>IF(OR(D486="",D486=0),"",(E486-D486)/D486)</f>
        <v/>
      </c>
    </row>
    <row r="487">
      <c r="A487" s="4" t="n"/>
      <c r="D487" s="7" t="n"/>
      <c r="E487" s="7" t="n"/>
      <c r="F487" s="10">
        <f>IF(OR(D487="",D487=0),"",(E487-D487)/D487)</f>
        <v/>
      </c>
    </row>
    <row r="488">
      <c r="A488" s="4" t="n"/>
      <c r="D488" s="7" t="n"/>
      <c r="E488" s="7" t="n"/>
      <c r="F488" s="10">
        <f>IF(OR(D488="",D488=0),"",(E488-D488)/D488)</f>
        <v/>
      </c>
    </row>
    <row r="489">
      <c r="A489" s="4" t="n"/>
      <c r="D489" s="7" t="n"/>
      <c r="E489" s="7" t="n"/>
      <c r="F489" s="10">
        <f>IF(OR(D489="",D489=0),"",(E489-D489)/D489)</f>
        <v/>
      </c>
    </row>
    <row r="490">
      <c r="A490" s="4" t="n"/>
      <c r="D490" s="7" t="n"/>
      <c r="E490" s="7" t="n"/>
      <c r="F490" s="10">
        <f>IF(OR(D490="",D490=0),"",(E490-D490)/D490)</f>
        <v/>
      </c>
    </row>
    <row r="491">
      <c r="A491" s="4" t="n"/>
      <c r="D491" s="7" t="n"/>
      <c r="E491" s="7" t="n"/>
      <c r="F491" s="10">
        <f>IF(OR(D491="",D491=0),"",(E491-D491)/D491)</f>
        <v/>
      </c>
    </row>
    <row r="492">
      <c r="A492" s="4" t="n"/>
      <c r="D492" s="7" t="n"/>
      <c r="E492" s="7" t="n"/>
      <c r="F492" s="10">
        <f>IF(OR(D492="",D492=0),"",(E492-D492)/D492)</f>
        <v/>
      </c>
    </row>
    <row r="493">
      <c r="A493" s="4" t="n"/>
      <c r="D493" s="7" t="n"/>
      <c r="E493" s="7" t="n"/>
      <c r="F493" s="10">
        <f>IF(OR(D493="",D493=0),"",(E493-D493)/D493)</f>
        <v/>
      </c>
    </row>
    <row r="494">
      <c r="A494" s="4" t="n"/>
      <c r="D494" s="7" t="n"/>
      <c r="E494" s="7" t="n"/>
      <c r="F494" s="10">
        <f>IF(OR(D494="",D494=0),"",(E494-D494)/D494)</f>
        <v/>
      </c>
    </row>
    <row r="495">
      <c r="A495" s="4" t="n"/>
      <c r="D495" s="7" t="n"/>
      <c r="E495" s="7" t="n"/>
      <c r="F495" s="10">
        <f>IF(OR(D495="",D495=0),"",(E495-D495)/D495)</f>
        <v/>
      </c>
    </row>
    <row r="496">
      <c r="A496" s="4" t="n"/>
      <c r="D496" s="7" t="n"/>
      <c r="E496" s="7" t="n"/>
      <c r="F496" s="10">
        <f>IF(OR(D496="",D496=0),"",(E496-D496)/D496)</f>
        <v/>
      </c>
    </row>
    <row r="497">
      <c r="A497" s="4" t="n"/>
      <c r="D497" s="7" t="n"/>
      <c r="E497" s="7" t="n"/>
      <c r="F497" s="10">
        <f>IF(OR(D497="",D497=0),"",(E497-D497)/D497)</f>
        <v/>
      </c>
    </row>
    <row r="498">
      <c r="A498" s="4" t="n"/>
      <c r="D498" s="7" t="n"/>
      <c r="E498" s="7" t="n"/>
      <c r="F498" s="10">
        <f>IF(OR(D498="",D498=0),"",(E498-D498)/D498)</f>
        <v/>
      </c>
    </row>
    <row r="499">
      <c r="A499" s="4" t="n"/>
      <c r="D499" s="7" t="n"/>
      <c r="E499" s="7" t="n"/>
      <c r="F499" s="10">
        <f>IF(OR(D499="",D499=0),"",(E499-D499)/D499)</f>
        <v/>
      </c>
    </row>
    <row r="500">
      <c r="A500" s="4" t="n"/>
      <c r="D500" s="7" t="n"/>
      <c r="E500" s="7" t="n"/>
      <c r="F500" s="10">
        <f>IF(OR(D500="",D500=0),"",(E500-D500)/D500)</f>
        <v/>
      </c>
    </row>
    <row r="501">
      <c r="B501" s="8" t="inlineStr">
        <is>
          <t>Итого:</t>
        </is>
      </c>
      <c r="D501" s="9">
        <f>SUM(D2:D500)</f>
        <v/>
      </c>
      <c r="E501" s="9">
        <f>SUM(E2:E500)</f>
        <v/>
      </c>
      <c r="F501" s="18">
        <f>IF(D501=0,"",(E501-D501)/D501)</f>
        <v/>
      </c>
    </row>
  </sheetData>
  <dataValidations count="1">
    <dataValidation sqref="C2:C500" showDropDown="0" showInputMessage="0" showErrorMessage="0" allowBlank="1" type="list">
      <formula1>=Списки!$G$2:$G$7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18" customWidth="1" min="3" max="3"/>
    <col width="18" customWidth="1" min="4" max="4"/>
  </cols>
  <sheetData>
    <row r="1">
      <c r="A1" s="1" t="inlineStr">
        <is>
          <t>Тип актива</t>
        </is>
      </c>
      <c r="B1" s="1" t="inlineStr">
        <is>
          <t>Название</t>
        </is>
      </c>
      <c r="C1" s="1" t="inlineStr">
        <is>
          <t>Стоимость (€)</t>
        </is>
      </c>
      <c r="D1" s="1" t="inlineStr">
        <is>
          <t>Дата обновления</t>
        </is>
      </c>
    </row>
    <row r="2">
      <c r="C2" s="7" t="n"/>
      <c r="D2" s="4" t="n"/>
    </row>
    <row r="3">
      <c r="C3" s="7" t="n"/>
      <c r="D3" s="4" t="n"/>
    </row>
    <row r="4">
      <c r="C4" s="7" t="n"/>
      <c r="D4" s="4" t="n"/>
    </row>
    <row r="5">
      <c r="C5" s="7" t="n"/>
      <c r="D5" s="4" t="n"/>
    </row>
    <row r="6">
      <c r="C6" s="7" t="n"/>
      <c r="D6" s="4" t="n"/>
    </row>
    <row r="7">
      <c r="C7" s="7" t="n"/>
      <c r="D7" s="4" t="n"/>
    </row>
    <row r="8">
      <c r="C8" s="7" t="n"/>
      <c r="D8" s="4" t="n"/>
    </row>
    <row r="9">
      <c r="C9" s="7" t="n"/>
      <c r="D9" s="4" t="n"/>
    </row>
    <row r="10">
      <c r="C10" s="7" t="n"/>
      <c r="D10" s="4" t="n"/>
    </row>
    <row r="11">
      <c r="C11" s="7" t="n"/>
      <c r="D11" s="4" t="n"/>
    </row>
    <row r="12">
      <c r="C12" s="7" t="n"/>
      <c r="D12" s="4" t="n"/>
    </row>
    <row r="13">
      <c r="C13" s="7" t="n"/>
      <c r="D13" s="4" t="n"/>
    </row>
    <row r="14">
      <c r="C14" s="7" t="n"/>
      <c r="D14" s="4" t="n"/>
    </row>
    <row r="15">
      <c r="C15" s="7" t="n"/>
      <c r="D15" s="4" t="n"/>
    </row>
    <row r="16">
      <c r="C16" s="7" t="n"/>
      <c r="D16" s="4" t="n"/>
    </row>
    <row r="17">
      <c r="C17" s="7" t="n"/>
      <c r="D17" s="4" t="n"/>
    </row>
    <row r="18">
      <c r="C18" s="7" t="n"/>
      <c r="D18" s="4" t="n"/>
    </row>
    <row r="19">
      <c r="C19" s="7" t="n"/>
      <c r="D19" s="4" t="n"/>
    </row>
    <row r="20">
      <c r="C20" s="7" t="n"/>
      <c r="D20" s="4" t="n"/>
    </row>
    <row r="21">
      <c r="C21" s="7" t="n"/>
      <c r="D21" s="4" t="n"/>
    </row>
    <row r="22">
      <c r="C22" s="7" t="n"/>
      <c r="D22" s="4" t="n"/>
    </row>
    <row r="23">
      <c r="C23" s="7" t="n"/>
      <c r="D23" s="4" t="n"/>
    </row>
    <row r="24">
      <c r="C24" s="7" t="n"/>
      <c r="D24" s="4" t="n"/>
    </row>
    <row r="25">
      <c r="C25" s="7" t="n"/>
      <c r="D25" s="4" t="n"/>
    </row>
    <row r="26">
      <c r="C26" s="7" t="n"/>
      <c r="D26" s="4" t="n"/>
    </row>
    <row r="27">
      <c r="C27" s="7" t="n"/>
      <c r="D27" s="4" t="n"/>
    </row>
    <row r="28">
      <c r="C28" s="7" t="n"/>
      <c r="D28" s="4" t="n"/>
    </row>
    <row r="29">
      <c r="C29" s="7" t="n"/>
      <c r="D29" s="4" t="n"/>
    </row>
    <row r="30">
      <c r="C30" s="7" t="n"/>
      <c r="D30" s="4" t="n"/>
    </row>
    <row r="31">
      <c r="C31" s="7" t="n"/>
      <c r="D31" s="4" t="n"/>
    </row>
    <row r="32">
      <c r="C32" s="7" t="n"/>
      <c r="D32" s="4" t="n"/>
    </row>
    <row r="33">
      <c r="C33" s="7" t="n"/>
      <c r="D33" s="4" t="n"/>
    </row>
    <row r="34">
      <c r="C34" s="7" t="n"/>
      <c r="D34" s="4" t="n"/>
    </row>
    <row r="35">
      <c r="C35" s="7" t="n"/>
      <c r="D35" s="4" t="n"/>
    </row>
    <row r="36">
      <c r="C36" s="7" t="n"/>
      <c r="D36" s="4" t="n"/>
    </row>
    <row r="37">
      <c r="C37" s="7" t="n"/>
      <c r="D37" s="4" t="n"/>
    </row>
    <row r="38">
      <c r="C38" s="7" t="n"/>
      <c r="D38" s="4" t="n"/>
    </row>
    <row r="39">
      <c r="C39" s="7" t="n"/>
      <c r="D39" s="4" t="n"/>
    </row>
    <row r="40">
      <c r="C40" s="7" t="n"/>
      <c r="D40" s="4" t="n"/>
    </row>
    <row r="41">
      <c r="C41" s="7" t="n"/>
      <c r="D41" s="4" t="n"/>
    </row>
    <row r="42">
      <c r="C42" s="7" t="n"/>
      <c r="D42" s="4" t="n"/>
    </row>
    <row r="43">
      <c r="C43" s="7" t="n"/>
      <c r="D43" s="4" t="n"/>
    </row>
    <row r="44">
      <c r="C44" s="7" t="n"/>
      <c r="D44" s="4" t="n"/>
    </row>
    <row r="45">
      <c r="C45" s="7" t="n"/>
      <c r="D45" s="4" t="n"/>
    </row>
    <row r="46">
      <c r="C46" s="7" t="n"/>
      <c r="D46" s="4" t="n"/>
    </row>
    <row r="47">
      <c r="C47" s="7" t="n"/>
      <c r="D47" s="4" t="n"/>
    </row>
    <row r="48">
      <c r="C48" s="7" t="n"/>
      <c r="D48" s="4" t="n"/>
    </row>
    <row r="49">
      <c r="C49" s="7" t="n"/>
      <c r="D49" s="4" t="n"/>
    </row>
    <row r="50">
      <c r="C50" s="7" t="n"/>
      <c r="D50" s="4" t="n"/>
    </row>
    <row r="51">
      <c r="C51" s="7" t="n"/>
      <c r="D51" s="4" t="n"/>
    </row>
    <row r="52">
      <c r="C52" s="7" t="n"/>
      <c r="D52" s="4" t="n"/>
    </row>
    <row r="53">
      <c r="C53" s="7" t="n"/>
      <c r="D53" s="4" t="n"/>
    </row>
    <row r="54">
      <c r="C54" s="7" t="n"/>
      <c r="D54" s="4" t="n"/>
    </row>
    <row r="55">
      <c r="C55" s="7" t="n"/>
      <c r="D55" s="4" t="n"/>
    </row>
    <row r="56">
      <c r="C56" s="7" t="n"/>
      <c r="D56" s="4" t="n"/>
    </row>
    <row r="57">
      <c r="C57" s="7" t="n"/>
      <c r="D57" s="4" t="n"/>
    </row>
    <row r="58">
      <c r="C58" s="7" t="n"/>
      <c r="D58" s="4" t="n"/>
    </row>
    <row r="59">
      <c r="C59" s="7" t="n"/>
      <c r="D59" s="4" t="n"/>
    </row>
    <row r="60">
      <c r="C60" s="7" t="n"/>
      <c r="D60" s="4" t="n"/>
    </row>
    <row r="61">
      <c r="C61" s="7" t="n"/>
      <c r="D61" s="4" t="n"/>
    </row>
    <row r="62">
      <c r="C62" s="7" t="n"/>
      <c r="D62" s="4" t="n"/>
    </row>
    <row r="63">
      <c r="C63" s="7" t="n"/>
      <c r="D63" s="4" t="n"/>
    </row>
    <row r="64">
      <c r="C64" s="7" t="n"/>
      <c r="D64" s="4" t="n"/>
    </row>
    <row r="65">
      <c r="C65" s="7" t="n"/>
      <c r="D65" s="4" t="n"/>
    </row>
    <row r="66">
      <c r="C66" s="7" t="n"/>
      <c r="D66" s="4" t="n"/>
    </row>
    <row r="67">
      <c r="C67" s="7" t="n"/>
      <c r="D67" s="4" t="n"/>
    </row>
    <row r="68">
      <c r="C68" s="7" t="n"/>
      <c r="D68" s="4" t="n"/>
    </row>
    <row r="69">
      <c r="C69" s="7" t="n"/>
      <c r="D69" s="4" t="n"/>
    </row>
    <row r="70">
      <c r="C70" s="7" t="n"/>
      <c r="D70" s="4" t="n"/>
    </row>
    <row r="71">
      <c r="C71" s="7" t="n"/>
      <c r="D71" s="4" t="n"/>
    </row>
    <row r="72">
      <c r="C72" s="7" t="n"/>
      <c r="D72" s="4" t="n"/>
    </row>
    <row r="73">
      <c r="C73" s="7" t="n"/>
      <c r="D73" s="4" t="n"/>
    </row>
    <row r="74">
      <c r="C74" s="7" t="n"/>
      <c r="D74" s="4" t="n"/>
    </row>
    <row r="75">
      <c r="C75" s="7" t="n"/>
      <c r="D75" s="4" t="n"/>
    </row>
    <row r="76">
      <c r="C76" s="7" t="n"/>
      <c r="D76" s="4" t="n"/>
    </row>
    <row r="77">
      <c r="C77" s="7" t="n"/>
      <c r="D77" s="4" t="n"/>
    </row>
    <row r="78">
      <c r="C78" s="7" t="n"/>
      <c r="D78" s="4" t="n"/>
    </row>
    <row r="79">
      <c r="C79" s="7" t="n"/>
      <c r="D79" s="4" t="n"/>
    </row>
    <row r="80">
      <c r="C80" s="7" t="n"/>
      <c r="D80" s="4" t="n"/>
    </row>
    <row r="81">
      <c r="C81" s="7" t="n"/>
      <c r="D81" s="4" t="n"/>
    </row>
    <row r="82">
      <c r="C82" s="7" t="n"/>
      <c r="D82" s="4" t="n"/>
    </row>
    <row r="83">
      <c r="C83" s="7" t="n"/>
      <c r="D83" s="4" t="n"/>
    </row>
    <row r="84">
      <c r="C84" s="7" t="n"/>
      <c r="D84" s="4" t="n"/>
    </row>
    <row r="85">
      <c r="C85" s="7" t="n"/>
      <c r="D85" s="4" t="n"/>
    </row>
    <row r="86">
      <c r="C86" s="7" t="n"/>
      <c r="D86" s="4" t="n"/>
    </row>
    <row r="87">
      <c r="C87" s="7" t="n"/>
      <c r="D87" s="4" t="n"/>
    </row>
    <row r="88">
      <c r="C88" s="7" t="n"/>
      <c r="D88" s="4" t="n"/>
    </row>
    <row r="89">
      <c r="C89" s="7" t="n"/>
      <c r="D89" s="4" t="n"/>
    </row>
    <row r="90">
      <c r="C90" s="7" t="n"/>
      <c r="D90" s="4" t="n"/>
    </row>
    <row r="91">
      <c r="C91" s="7" t="n"/>
      <c r="D91" s="4" t="n"/>
    </row>
    <row r="92">
      <c r="C92" s="7" t="n"/>
      <c r="D92" s="4" t="n"/>
    </row>
    <row r="93">
      <c r="C93" s="7" t="n"/>
      <c r="D93" s="4" t="n"/>
    </row>
    <row r="94">
      <c r="C94" s="7" t="n"/>
      <c r="D94" s="4" t="n"/>
    </row>
    <row r="95">
      <c r="C95" s="7" t="n"/>
      <c r="D95" s="4" t="n"/>
    </row>
    <row r="96">
      <c r="C96" s="7" t="n"/>
      <c r="D96" s="4" t="n"/>
    </row>
    <row r="97">
      <c r="C97" s="7" t="n"/>
      <c r="D97" s="4" t="n"/>
    </row>
    <row r="98">
      <c r="C98" s="7" t="n"/>
      <c r="D98" s="4" t="n"/>
    </row>
    <row r="99">
      <c r="C99" s="7" t="n"/>
      <c r="D99" s="4" t="n"/>
    </row>
    <row r="100">
      <c r="C100" s="7" t="n"/>
      <c r="D100" s="4" t="n"/>
    </row>
    <row r="101">
      <c r="C101" s="7" t="n"/>
      <c r="D101" s="4" t="n"/>
    </row>
    <row r="102">
      <c r="C102" s="7" t="n"/>
      <c r="D102" s="4" t="n"/>
    </row>
    <row r="103">
      <c r="C103" s="7" t="n"/>
      <c r="D103" s="4" t="n"/>
    </row>
    <row r="104">
      <c r="C104" s="7" t="n"/>
      <c r="D104" s="4" t="n"/>
    </row>
    <row r="105">
      <c r="C105" s="7" t="n"/>
      <c r="D105" s="4" t="n"/>
    </row>
    <row r="106">
      <c r="C106" s="7" t="n"/>
      <c r="D106" s="4" t="n"/>
    </row>
    <row r="107">
      <c r="C107" s="7" t="n"/>
      <c r="D107" s="4" t="n"/>
    </row>
    <row r="108">
      <c r="C108" s="7" t="n"/>
      <c r="D108" s="4" t="n"/>
    </row>
    <row r="109">
      <c r="C109" s="7" t="n"/>
      <c r="D109" s="4" t="n"/>
    </row>
    <row r="110">
      <c r="C110" s="7" t="n"/>
      <c r="D110" s="4" t="n"/>
    </row>
    <row r="111">
      <c r="C111" s="7" t="n"/>
      <c r="D111" s="4" t="n"/>
    </row>
    <row r="112">
      <c r="C112" s="7" t="n"/>
      <c r="D112" s="4" t="n"/>
    </row>
    <row r="113">
      <c r="C113" s="7" t="n"/>
      <c r="D113" s="4" t="n"/>
    </row>
    <row r="114">
      <c r="C114" s="7" t="n"/>
      <c r="D114" s="4" t="n"/>
    </row>
    <row r="115">
      <c r="C115" s="7" t="n"/>
      <c r="D115" s="4" t="n"/>
    </row>
    <row r="116">
      <c r="C116" s="7" t="n"/>
      <c r="D116" s="4" t="n"/>
    </row>
    <row r="117">
      <c r="C117" s="7" t="n"/>
      <c r="D117" s="4" t="n"/>
    </row>
    <row r="118">
      <c r="C118" s="7" t="n"/>
      <c r="D118" s="4" t="n"/>
    </row>
    <row r="119">
      <c r="C119" s="7" t="n"/>
      <c r="D119" s="4" t="n"/>
    </row>
    <row r="120">
      <c r="C120" s="7" t="n"/>
      <c r="D120" s="4" t="n"/>
    </row>
    <row r="121">
      <c r="C121" s="7" t="n"/>
      <c r="D121" s="4" t="n"/>
    </row>
    <row r="122">
      <c r="C122" s="7" t="n"/>
      <c r="D122" s="4" t="n"/>
    </row>
    <row r="123">
      <c r="C123" s="7" t="n"/>
      <c r="D123" s="4" t="n"/>
    </row>
    <row r="124">
      <c r="C124" s="7" t="n"/>
      <c r="D124" s="4" t="n"/>
    </row>
    <row r="125">
      <c r="C125" s="7" t="n"/>
      <c r="D125" s="4" t="n"/>
    </row>
    <row r="126">
      <c r="C126" s="7" t="n"/>
      <c r="D126" s="4" t="n"/>
    </row>
    <row r="127">
      <c r="C127" s="7" t="n"/>
      <c r="D127" s="4" t="n"/>
    </row>
    <row r="128">
      <c r="C128" s="7" t="n"/>
      <c r="D128" s="4" t="n"/>
    </row>
    <row r="129">
      <c r="C129" s="7" t="n"/>
      <c r="D129" s="4" t="n"/>
    </row>
    <row r="130">
      <c r="C130" s="7" t="n"/>
      <c r="D130" s="4" t="n"/>
    </row>
    <row r="131">
      <c r="C131" s="7" t="n"/>
      <c r="D131" s="4" t="n"/>
    </row>
    <row r="132">
      <c r="C132" s="7" t="n"/>
      <c r="D132" s="4" t="n"/>
    </row>
    <row r="133">
      <c r="C133" s="7" t="n"/>
      <c r="D133" s="4" t="n"/>
    </row>
    <row r="134">
      <c r="C134" s="7" t="n"/>
      <c r="D134" s="4" t="n"/>
    </row>
    <row r="135">
      <c r="C135" s="7" t="n"/>
      <c r="D135" s="4" t="n"/>
    </row>
    <row r="136">
      <c r="C136" s="7" t="n"/>
      <c r="D136" s="4" t="n"/>
    </row>
    <row r="137">
      <c r="C137" s="7" t="n"/>
      <c r="D137" s="4" t="n"/>
    </row>
    <row r="138">
      <c r="C138" s="7" t="n"/>
      <c r="D138" s="4" t="n"/>
    </row>
    <row r="139">
      <c r="C139" s="7" t="n"/>
      <c r="D139" s="4" t="n"/>
    </row>
    <row r="140">
      <c r="C140" s="7" t="n"/>
      <c r="D140" s="4" t="n"/>
    </row>
    <row r="141">
      <c r="C141" s="7" t="n"/>
      <c r="D141" s="4" t="n"/>
    </row>
    <row r="142">
      <c r="C142" s="7" t="n"/>
      <c r="D142" s="4" t="n"/>
    </row>
    <row r="143">
      <c r="C143" s="7" t="n"/>
      <c r="D143" s="4" t="n"/>
    </row>
    <row r="144">
      <c r="C144" s="7" t="n"/>
      <c r="D144" s="4" t="n"/>
    </row>
    <row r="145">
      <c r="C145" s="7" t="n"/>
      <c r="D145" s="4" t="n"/>
    </row>
    <row r="146">
      <c r="C146" s="7" t="n"/>
      <c r="D146" s="4" t="n"/>
    </row>
    <row r="147">
      <c r="C147" s="7" t="n"/>
      <c r="D147" s="4" t="n"/>
    </row>
    <row r="148">
      <c r="C148" s="7" t="n"/>
      <c r="D148" s="4" t="n"/>
    </row>
    <row r="149">
      <c r="C149" s="7" t="n"/>
      <c r="D149" s="4" t="n"/>
    </row>
    <row r="150">
      <c r="C150" s="7" t="n"/>
      <c r="D150" s="4" t="n"/>
    </row>
    <row r="151">
      <c r="C151" s="7" t="n"/>
      <c r="D151" s="4" t="n"/>
    </row>
    <row r="152">
      <c r="C152" s="7" t="n"/>
      <c r="D152" s="4" t="n"/>
    </row>
    <row r="153">
      <c r="C153" s="7" t="n"/>
      <c r="D153" s="4" t="n"/>
    </row>
    <row r="154">
      <c r="C154" s="7" t="n"/>
      <c r="D154" s="4" t="n"/>
    </row>
    <row r="155">
      <c r="C155" s="7" t="n"/>
      <c r="D155" s="4" t="n"/>
    </row>
    <row r="156">
      <c r="C156" s="7" t="n"/>
      <c r="D156" s="4" t="n"/>
    </row>
    <row r="157">
      <c r="C157" s="7" t="n"/>
      <c r="D157" s="4" t="n"/>
    </row>
    <row r="158">
      <c r="C158" s="7" t="n"/>
      <c r="D158" s="4" t="n"/>
    </row>
    <row r="159">
      <c r="C159" s="7" t="n"/>
      <c r="D159" s="4" t="n"/>
    </row>
    <row r="160">
      <c r="C160" s="7" t="n"/>
      <c r="D160" s="4" t="n"/>
    </row>
    <row r="161">
      <c r="C161" s="7" t="n"/>
      <c r="D161" s="4" t="n"/>
    </row>
    <row r="162">
      <c r="C162" s="7" t="n"/>
      <c r="D162" s="4" t="n"/>
    </row>
    <row r="163">
      <c r="C163" s="7" t="n"/>
      <c r="D163" s="4" t="n"/>
    </row>
    <row r="164">
      <c r="C164" s="7" t="n"/>
      <c r="D164" s="4" t="n"/>
    </row>
    <row r="165">
      <c r="C165" s="7" t="n"/>
      <c r="D165" s="4" t="n"/>
    </row>
    <row r="166">
      <c r="C166" s="7" t="n"/>
      <c r="D166" s="4" t="n"/>
    </row>
    <row r="167">
      <c r="C167" s="7" t="n"/>
      <c r="D167" s="4" t="n"/>
    </row>
    <row r="168">
      <c r="C168" s="7" t="n"/>
      <c r="D168" s="4" t="n"/>
    </row>
    <row r="169">
      <c r="C169" s="7" t="n"/>
      <c r="D169" s="4" t="n"/>
    </row>
    <row r="170">
      <c r="C170" s="7" t="n"/>
      <c r="D170" s="4" t="n"/>
    </row>
    <row r="171">
      <c r="C171" s="7" t="n"/>
      <c r="D171" s="4" t="n"/>
    </row>
    <row r="172">
      <c r="C172" s="7" t="n"/>
      <c r="D172" s="4" t="n"/>
    </row>
    <row r="173">
      <c r="C173" s="7" t="n"/>
      <c r="D173" s="4" t="n"/>
    </row>
    <row r="174">
      <c r="C174" s="7" t="n"/>
      <c r="D174" s="4" t="n"/>
    </row>
    <row r="175">
      <c r="C175" s="7" t="n"/>
      <c r="D175" s="4" t="n"/>
    </row>
    <row r="176">
      <c r="C176" s="7" t="n"/>
      <c r="D176" s="4" t="n"/>
    </row>
    <row r="177">
      <c r="C177" s="7" t="n"/>
      <c r="D177" s="4" t="n"/>
    </row>
    <row r="178">
      <c r="C178" s="7" t="n"/>
      <c r="D178" s="4" t="n"/>
    </row>
    <row r="179">
      <c r="C179" s="7" t="n"/>
      <c r="D179" s="4" t="n"/>
    </row>
    <row r="180">
      <c r="C180" s="7" t="n"/>
      <c r="D180" s="4" t="n"/>
    </row>
    <row r="181">
      <c r="C181" s="7" t="n"/>
      <c r="D181" s="4" t="n"/>
    </row>
    <row r="182">
      <c r="C182" s="7" t="n"/>
      <c r="D182" s="4" t="n"/>
    </row>
    <row r="183">
      <c r="C183" s="7" t="n"/>
      <c r="D183" s="4" t="n"/>
    </row>
    <row r="184">
      <c r="C184" s="7" t="n"/>
      <c r="D184" s="4" t="n"/>
    </row>
    <row r="185">
      <c r="C185" s="7" t="n"/>
      <c r="D185" s="4" t="n"/>
    </row>
    <row r="186">
      <c r="C186" s="7" t="n"/>
      <c r="D186" s="4" t="n"/>
    </row>
    <row r="187">
      <c r="C187" s="7" t="n"/>
      <c r="D187" s="4" t="n"/>
    </row>
    <row r="188">
      <c r="C188" s="7" t="n"/>
      <c r="D188" s="4" t="n"/>
    </row>
    <row r="189">
      <c r="C189" s="7" t="n"/>
      <c r="D189" s="4" t="n"/>
    </row>
    <row r="190">
      <c r="C190" s="7" t="n"/>
      <c r="D190" s="4" t="n"/>
    </row>
    <row r="191">
      <c r="C191" s="7" t="n"/>
      <c r="D191" s="4" t="n"/>
    </row>
    <row r="192">
      <c r="C192" s="7" t="n"/>
      <c r="D192" s="4" t="n"/>
    </row>
    <row r="193">
      <c r="C193" s="7" t="n"/>
      <c r="D193" s="4" t="n"/>
    </row>
    <row r="194">
      <c r="C194" s="7" t="n"/>
      <c r="D194" s="4" t="n"/>
    </row>
    <row r="195">
      <c r="C195" s="7" t="n"/>
      <c r="D195" s="4" t="n"/>
    </row>
    <row r="196">
      <c r="C196" s="7" t="n"/>
      <c r="D196" s="4" t="n"/>
    </row>
    <row r="197">
      <c r="C197" s="7" t="n"/>
      <c r="D197" s="4" t="n"/>
    </row>
    <row r="198">
      <c r="C198" s="7" t="n"/>
      <c r="D198" s="4" t="n"/>
    </row>
    <row r="199">
      <c r="C199" s="7" t="n"/>
      <c r="D199" s="4" t="n"/>
    </row>
    <row r="200">
      <c r="C200" s="7" t="n"/>
      <c r="D200" s="4" t="n"/>
    </row>
    <row r="201">
      <c r="C201" s="7" t="n"/>
      <c r="D201" s="4" t="n"/>
    </row>
    <row r="202">
      <c r="C202" s="7" t="n"/>
      <c r="D202" s="4" t="n"/>
    </row>
    <row r="203">
      <c r="C203" s="7" t="n"/>
      <c r="D203" s="4" t="n"/>
    </row>
    <row r="204">
      <c r="C204" s="7" t="n"/>
      <c r="D204" s="4" t="n"/>
    </row>
    <row r="205">
      <c r="C205" s="7" t="n"/>
      <c r="D205" s="4" t="n"/>
    </row>
    <row r="206">
      <c r="C206" s="7" t="n"/>
      <c r="D206" s="4" t="n"/>
    </row>
    <row r="207">
      <c r="C207" s="7" t="n"/>
      <c r="D207" s="4" t="n"/>
    </row>
    <row r="208">
      <c r="C208" s="7" t="n"/>
      <c r="D208" s="4" t="n"/>
    </row>
    <row r="209">
      <c r="C209" s="7" t="n"/>
      <c r="D209" s="4" t="n"/>
    </row>
    <row r="210">
      <c r="C210" s="7" t="n"/>
      <c r="D210" s="4" t="n"/>
    </row>
    <row r="211">
      <c r="C211" s="7" t="n"/>
      <c r="D211" s="4" t="n"/>
    </row>
    <row r="212">
      <c r="C212" s="7" t="n"/>
      <c r="D212" s="4" t="n"/>
    </row>
    <row r="213">
      <c r="C213" s="7" t="n"/>
      <c r="D213" s="4" t="n"/>
    </row>
    <row r="214">
      <c r="C214" s="7" t="n"/>
      <c r="D214" s="4" t="n"/>
    </row>
    <row r="215">
      <c r="C215" s="7" t="n"/>
      <c r="D215" s="4" t="n"/>
    </row>
    <row r="216">
      <c r="C216" s="7" t="n"/>
      <c r="D216" s="4" t="n"/>
    </row>
    <row r="217">
      <c r="C217" s="7" t="n"/>
      <c r="D217" s="4" t="n"/>
    </row>
    <row r="218">
      <c r="C218" s="7" t="n"/>
      <c r="D218" s="4" t="n"/>
    </row>
    <row r="219">
      <c r="C219" s="7" t="n"/>
      <c r="D219" s="4" t="n"/>
    </row>
    <row r="220">
      <c r="C220" s="7" t="n"/>
      <c r="D220" s="4" t="n"/>
    </row>
    <row r="221">
      <c r="C221" s="7" t="n"/>
      <c r="D221" s="4" t="n"/>
    </row>
    <row r="222">
      <c r="C222" s="7" t="n"/>
      <c r="D222" s="4" t="n"/>
    </row>
    <row r="223">
      <c r="C223" s="7" t="n"/>
      <c r="D223" s="4" t="n"/>
    </row>
    <row r="224">
      <c r="C224" s="7" t="n"/>
      <c r="D224" s="4" t="n"/>
    </row>
    <row r="225">
      <c r="C225" s="7" t="n"/>
      <c r="D225" s="4" t="n"/>
    </row>
    <row r="226">
      <c r="C226" s="7" t="n"/>
      <c r="D226" s="4" t="n"/>
    </row>
    <row r="227">
      <c r="C227" s="7" t="n"/>
      <c r="D227" s="4" t="n"/>
    </row>
    <row r="228">
      <c r="C228" s="7" t="n"/>
      <c r="D228" s="4" t="n"/>
    </row>
    <row r="229">
      <c r="C229" s="7" t="n"/>
      <c r="D229" s="4" t="n"/>
    </row>
    <row r="230">
      <c r="C230" s="7" t="n"/>
      <c r="D230" s="4" t="n"/>
    </row>
    <row r="231">
      <c r="C231" s="7" t="n"/>
      <c r="D231" s="4" t="n"/>
    </row>
    <row r="232">
      <c r="C232" s="7" t="n"/>
      <c r="D232" s="4" t="n"/>
    </row>
    <row r="233">
      <c r="C233" s="7" t="n"/>
      <c r="D233" s="4" t="n"/>
    </row>
    <row r="234">
      <c r="C234" s="7" t="n"/>
      <c r="D234" s="4" t="n"/>
    </row>
    <row r="235">
      <c r="C235" s="7" t="n"/>
      <c r="D235" s="4" t="n"/>
    </row>
    <row r="236">
      <c r="C236" s="7" t="n"/>
      <c r="D236" s="4" t="n"/>
    </row>
    <row r="237">
      <c r="C237" s="7" t="n"/>
      <c r="D237" s="4" t="n"/>
    </row>
    <row r="238">
      <c r="C238" s="7" t="n"/>
      <c r="D238" s="4" t="n"/>
    </row>
    <row r="239">
      <c r="C239" s="7" t="n"/>
      <c r="D239" s="4" t="n"/>
    </row>
    <row r="240">
      <c r="C240" s="7" t="n"/>
      <c r="D240" s="4" t="n"/>
    </row>
    <row r="241">
      <c r="C241" s="7" t="n"/>
      <c r="D241" s="4" t="n"/>
    </row>
    <row r="242">
      <c r="C242" s="7" t="n"/>
      <c r="D242" s="4" t="n"/>
    </row>
    <row r="243">
      <c r="C243" s="7" t="n"/>
      <c r="D243" s="4" t="n"/>
    </row>
    <row r="244">
      <c r="C244" s="7" t="n"/>
      <c r="D244" s="4" t="n"/>
    </row>
    <row r="245">
      <c r="C245" s="7" t="n"/>
      <c r="D245" s="4" t="n"/>
    </row>
    <row r="246">
      <c r="C246" s="7" t="n"/>
      <c r="D246" s="4" t="n"/>
    </row>
    <row r="247">
      <c r="C247" s="7" t="n"/>
      <c r="D247" s="4" t="n"/>
    </row>
    <row r="248">
      <c r="C248" s="7" t="n"/>
      <c r="D248" s="4" t="n"/>
    </row>
    <row r="249">
      <c r="C249" s="7" t="n"/>
      <c r="D249" s="4" t="n"/>
    </row>
    <row r="250">
      <c r="C250" s="7" t="n"/>
      <c r="D250" s="4" t="n"/>
    </row>
    <row r="251">
      <c r="C251" s="7" t="n"/>
      <c r="D251" s="4" t="n"/>
    </row>
    <row r="252">
      <c r="C252" s="7" t="n"/>
      <c r="D252" s="4" t="n"/>
    </row>
    <row r="253">
      <c r="C253" s="7" t="n"/>
      <c r="D253" s="4" t="n"/>
    </row>
    <row r="254">
      <c r="C254" s="7" t="n"/>
      <c r="D254" s="4" t="n"/>
    </row>
    <row r="255">
      <c r="C255" s="7" t="n"/>
      <c r="D255" s="4" t="n"/>
    </row>
    <row r="256">
      <c r="C256" s="7" t="n"/>
      <c r="D256" s="4" t="n"/>
    </row>
    <row r="257">
      <c r="C257" s="7" t="n"/>
      <c r="D257" s="4" t="n"/>
    </row>
    <row r="258">
      <c r="C258" s="7" t="n"/>
      <c r="D258" s="4" t="n"/>
    </row>
    <row r="259">
      <c r="C259" s="7" t="n"/>
      <c r="D259" s="4" t="n"/>
    </row>
    <row r="260">
      <c r="C260" s="7" t="n"/>
      <c r="D260" s="4" t="n"/>
    </row>
    <row r="261">
      <c r="C261" s="7" t="n"/>
      <c r="D261" s="4" t="n"/>
    </row>
    <row r="262">
      <c r="C262" s="7" t="n"/>
      <c r="D262" s="4" t="n"/>
    </row>
    <row r="263">
      <c r="C263" s="7" t="n"/>
      <c r="D263" s="4" t="n"/>
    </row>
    <row r="264">
      <c r="C264" s="7" t="n"/>
      <c r="D264" s="4" t="n"/>
    </row>
    <row r="265">
      <c r="C265" s="7" t="n"/>
      <c r="D265" s="4" t="n"/>
    </row>
    <row r="266">
      <c r="C266" s="7" t="n"/>
      <c r="D266" s="4" t="n"/>
    </row>
    <row r="267">
      <c r="C267" s="7" t="n"/>
      <c r="D267" s="4" t="n"/>
    </row>
    <row r="268">
      <c r="C268" s="7" t="n"/>
      <c r="D268" s="4" t="n"/>
    </row>
    <row r="269">
      <c r="C269" s="7" t="n"/>
      <c r="D269" s="4" t="n"/>
    </row>
    <row r="270">
      <c r="C270" s="7" t="n"/>
      <c r="D270" s="4" t="n"/>
    </row>
    <row r="271">
      <c r="C271" s="7" t="n"/>
      <c r="D271" s="4" t="n"/>
    </row>
    <row r="272">
      <c r="C272" s="7" t="n"/>
      <c r="D272" s="4" t="n"/>
    </row>
    <row r="273">
      <c r="C273" s="7" t="n"/>
      <c r="D273" s="4" t="n"/>
    </row>
    <row r="274">
      <c r="C274" s="7" t="n"/>
      <c r="D274" s="4" t="n"/>
    </row>
    <row r="275">
      <c r="C275" s="7" t="n"/>
      <c r="D275" s="4" t="n"/>
    </row>
    <row r="276">
      <c r="C276" s="7" t="n"/>
      <c r="D276" s="4" t="n"/>
    </row>
    <row r="277">
      <c r="C277" s="7" t="n"/>
      <c r="D277" s="4" t="n"/>
    </row>
    <row r="278">
      <c r="C278" s="7" t="n"/>
      <c r="D278" s="4" t="n"/>
    </row>
    <row r="279">
      <c r="C279" s="7" t="n"/>
      <c r="D279" s="4" t="n"/>
    </row>
    <row r="280">
      <c r="C280" s="7" t="n"/>
      <c r="D280" s="4" t="n"/>
    </row>
    <row r="281">
      <c r="C281" s="7" t="n"/>
      <c r="D281" s="4" t="n"/>
    </row>
    <row r="282">
      <c r="C282" s="7" t="n"/>
      <c r="D282" s="4" t="n"/>
    </row>
    <row r="283">
      <c r="C283" s="7" t="n"/>
      <c r="D283" s="4" t="n"/>
    </row>
    <row r="284">
      <c r="C284" s="7" t="n"/>
      <c r="D284" s="4" t="n"/>
    </row>
    <row r="285">
      <c r="C285" s="7" t="n"/>
      <c r="D285" s="4" t="n"/>
    </row>
    <row r="286">
      <c r="C286" s="7" t="n"/>
      <c r="D286" s="4" t="n"/>
    </row>
    <row r="287">
      <c r="C287" s="7" t="n"/>
      <c r="D287" s="4" t="n"/>
    </row>
    <row r="288">
      <c r="C288" s="7" t="n"/>
      <c r="D288" s="4" t="n"/>
    </row>
    <row r="289">
      <c r="C289" s="7" t="n"/>
      <c r="D289" s="4" t="n"/>
    </row>
    <row r="290">
      <c r="C290" s="7" t="n"/>
      <c r="D290" s="4" t="n"/>
    </row>
    <row r="291">
      <c r="C291" s="7" t="n"/>
      <c r="D291" s="4" t="n"/>
    </row>
    <row r="292">
      <c r="C292" s="7" t="n"/>
      <c r="D292" s="4" t="n"/>
    </row>
    <row r="293">
      <c r="C293" s="7" t="n"/>
      <c r="D293" s="4" t="n"/>
    </row>
    <row r="294">
      <c r="C294" s="7" t="n"/>
      <c r="D294" s="4" t="n"/>
    </row>
    <row r="295">
      <c r="C295" s="7" t="n"/>
      <c r="D295" s="4" t="n"/>
    </row>
    <row r="296">
      <c r="C296" s="7" t="n"/>
      <c r="D296" s="4" t="n"/>
    </row>
    <row r="297">
      <c r="C297" s="7" t="n"/>
      <c r="D297" s="4" t="n"/>
    </row>
    <row r="298">
      <c r="C298" s="7" t="n"/>
      <c r="D298" s="4" t="n"/>
    </row>
    <row r="299">
      <c r="C299" s="7" t="n"/>
      <c r="D299" s="4" t="n"/>
    </row>
    <row r="300">
      <c r="C300" s="7" t="n"/>
      <c r="D300" s="4" t="n"/>
    </row>
    <row r="301">
      <c r="C301" s="7" t="n"/>
      <c r="D301" s="4" t="n"/>
    </row>
    <row r="302">
      <c r="C302" s="7" t="n"/>
      <c r="D302" s="4" t="n"/>
    </row>
    <row r="303">
      <c r="C303" s="7" t="n"/>
      <c r="D303" s="4" t="n"/>
    </row>
    <row r="304">
      <c r="C304" s="7" t="n"/>
      <c r="D304" s="4" t="n"/>
    </row>
    <row r="305">
      <c r="C305" s="7" t="n"/>
      <c r="D305" s="4" t="n"/>
    </row>
    <row r="306">
      <c r="C306" s="7" t="n"/>
      <c r="D306" s="4" t="n"/>
    </row>
    <row r="307">
      <c r="C307" s="7" t="n"/>
      <c r="D307" s="4" t="n"/>
    </row>
    <row r="308">
      <c r="C308" s="7" t="n"/>
      <c r="D308" s="4" t="n"/>
    </row>
    <row r="309">
      <c r="C309" s="7" t="n"/>
      <c r="D309" s="4" t="n"/>
    </row>
    <row r="310">
      <c r="C310" s="7" t="n"/>
      <c r="D310" s="4" t="n"/>
    </row>
    <row r="311">
      <c r="C311" s="7" t="n"/>
      <c r="D311" s="4" t="n"/>
    </row>
    <row r="312">
      <c r="C312" s="7" t="n"/>
      <c r="D312" s="4" t="n"/>
    </row>
    <row r="313">
      <c r="C313" s="7" t="n"/>
      <c r="D313" s="4" t="n"/>
    </row>
    <row r="314">
      <c r="C314" s="7" t="n"/>
      <c r="D314" s="4" t="n"/>
    </row>
    <row r="315">
      <c r="C315" s="7" t="n"/>
      <c r="D315" s="4" t="n"/>
    </row>
    <row r="316">
      <c r="C316" s="7" t="n"/>
      <c r="D316" s="4" t="n"/>
    </row>
    <row r="317">
      <c r="C317" s="7" t="n"/>
      <c r="D317" s="4" t="n"/>
    </row>
    <row r="318">
      <c r="C318" s="7" t="n"/>
      <c r="D318" s="4" t="n"/>
    </row>
    <row r="319">
      <c r="C319" s="7" t="n"/>
      <c r="D319" s="4" t="n"/>
    </row>
    <row r="320">
      <c r="C320" s="7" t="n"/>
      <c r="D320" s="4" t="n"/>
    </row>
    <row r="321">
      <c r="C321" s="7" t="n"/>
      <c r="D321" s="4" t="n"/>
    </row>
    <row r="322">
      <c r="C322" s="7" t="n"/>
      <c r="D322" s="4" t="n"/>
    </row>
    <row r="323">
      <c r="C323" s="7" t="n"/>
      <c r="D323" s="4" t="n"/>
    </row>
    <row r="324">
      <c r="C324" s="7" t="n"/>
      <c r="D324" s="4" t="n"/>
    </row>
    <row r="325">
      <c r="C325" s="7" t="n"/>
      <c r="D325" s="4" t="n"/>
    </row>
    <row r="326">
      <c r="C326" s="7" t="n"/>
      <c r="D326" s="4" t="n"/>
    </row>
    <row r="327">
      <c r="C327" s="7" t="n"/>
      <c r="D327" s="4" t="n"/>
    </row>
    <row r="328">
      <c r="C328" s="7" t="n"/>
      <c r="D328" s="4" t="n"/>
    </row>
    <row r="329">
      <c r="C329" s="7" t="n"/>
      <c r="D329" s="4" t="n"/>
    </row>
    <row r="330">
      <c r="C330" s="7" t="n"/>
      <c r="D330" s="4" t="n"/>
    </row>
    <row r="331">
      <c r="C331" s="7" t="n"/>
      <c r="D331" s="4" t="n"/>
    </row>
    <row r="332">
      <c r="C332" s="7" t="n"/>
      <c r="D332" s="4" t="n"/>
    </row>
    <row r="333">
      <c r="C333" s="7" t="n"/>
      <c r="D333" s="4" t="n"/>
    </row>
    <row r="334">
      <c r="C334" s="7" t="n"/>
      <c r="D334" s="4" t="n"/>
    </row>
    <row r="335">
      <c r="C335" s="7" t="n"/>
      <c r="D335" s="4" t="n"/>
    </row>
    <row r="336">
      <c r="C336" s="7" t="n"/>
      <c r="D336" s="4" t="n"/>
    </row>
    <row r="337">
      <c r="C337" s="7" t="n"/>
      <c r="D337" s="4" t="n"/>
    </row>
    <row r="338">
      <c r="C338" s="7" t="n"/>
      <c r="D338" s="4" t="n"/>
    </row>
    <row r="339">
      <c r="C339" s="7" t="n"/>
      <c r="D339" s="4" t="n"/>
    </row>
    <row r="340">
      <c r="C340" s="7" t="n"/>
      <c r="D340" s="4" t="n"/>
    </row>
    <row r="341">
      <c r="C341" s="7" t="n"/>
      <c r="D341" s="4" t="n"/>
    </row>
    <row r="342">
      <c r="C342" s="7" t="n"/>
      <c r="D342" s="4" t="n"/>
    </row>
    <row r="343">
      <c r="C343" s="7" t="n"/>
      <c r="D343" s="4" t="n"/>
    </row>
    <row r="344">
      <c r="C344" s="7" t="n"/>
      <c r="D344" s="4" t="n"/>
    </row>
    <row r="345">
      <c r="C345" s="7" t="n"/>
      <c r="D345" s="4" t="n"/>
    </row>
    <row r="346">
      <c r="C346" s="7" t="n"/>
      <c r="D346" s="4" t="n"/>
    </row>
    <row r="347">
      <c r="C347" s="7" t="n"/>
      <c r="D347" s="4" t="n"/>
    </row>
    <row r="348">
      <c r="C348" s="7" t="n"/>
      <c r="D348" s="4" t="n"/>
    </row>
    <row r="349">
      <c r="C349" s="7" t="n"/>
      <c r="D349" s="4" t="n"/>
    </row>
    <row r="350">
      <c r="C350" s="7" t="n"/>
      <c r="D350" s="4" t="n"/>
    </row>
    <row r="351">
      <c r="C351" s="7" t="n"/>
      <c r="D351" s="4" t="n"/>
    </row>
    <row r="352">
      <c r="C352" s="7" t="n"/>
      <c r="D352" s="4" t="n"/>
    </row>
    <row r="353">
      <c r="C353" s="7" t="n"/>
      <c r="D353" s="4" t="n"/>
    </row>
    <row r="354">
      <c r="C354" s="7" t="n"/>
      <c r="D354" s="4" t="n"/>
    </row>
    <row r="355">
      <c r="C355" s="7" t="n"/>
      <c r="D355" s="4" t="n"/>
    </row>
    <row r="356">
      <c r="C356" s="7" t="n"/>
      <c r="D356" s="4" t="n"/>
    </row>
    <row r="357">
      <c r="C357" s="7" t="n"/>
      <c r="D357" s="4" t="n"/>
    </row>
    <row r="358">
      <c r="C358" s="7" t="n"/>
      <c r="D358" s="4" t="n"/>
    </row>
    <row r="359">
      <c r="C359" s="7" t="n"/>
      <c r="D359" s="4" t="n"/>
    </row>
    <row r="360">
      <c r="C360" s="7" t="n"/>
      <c r="D360" s="4" t="n"/>
    </row>
    <row r="361">
      <c r="C361" s="7" t="n"/>
      <c r="D361" s="4" t="n"/>
    </row>
    <row r="362">
      <c r="C362" s="7" t="n"/>
      <c r="D362" s="4" t="n"/>
    </row>
    <row r="363">
      <c r="C363" s="7" t="n"/>
      <c r="D363" s="4" t="n"/>
    </row>
    <row r="364">
      <c r="C364" s="7" t="n"/>
      <c r="D364" s="4" t="n"/>
    </row>
    <row r="365">
      <c r="C365" s="7" t="n"/>
      <c r="D365" s="4" t="n"/>
    </row>
    <row r="366">
      <c r="C366" s="7" t="n"/>
      <c r="D366" s="4" t="n"/>
    </row>
    <row r="367">
      <c r="C367" s="7" t="n"/>
      <c r="D367" s="4" t="n"/>
    </row>
    <row r="368">
      <c r="C368" s="7" t="n"/>
      <c r="D368" s="4" t="n"/>
    </row>
    <row r="369">
      <c r="C369" s="7" t="n"/>
      <c r="D369" s="4" t="n"/>
    </row>
    <row r="370">
      <c r="C370" s="7" t="n"/>
      <c r="D370" s="4" t="n"/>
    </row>
    <row r="371">
      <c r="C371" s="7" t="n"/>
      <c r="D371" s="4" t="n"/>
    </row>
    <row r="372">
      <c r="C372" s="7" t="n"/>
      <c r="D372" s="4" t="n"/>
    </row>
    <row r="373">
      <c r="C373" s="7" t="n"/>
      <c r="D373" s="4" t="n"/>
    </row>
    <row r="374">
      <c r="C374" s="7" t="n"/>
      <c r="D374" s="4" t="n"/>
    </row>
    <row r="375">
      <c r="C375" s="7" t="n"/>
      <c r="D375" s="4" t="n"/>
    </row>
    <row r="376">
      <c r="C376" s="7" t="n"/>
      <c r="D376" s="4" t="n"/>
    </row>
    <row r="377">
      <c r="C377" s="7" t="n"/>
      <c r="D377" s="4" t="n"/>
    </row>
    <row r="378">
      <c r="C378" s="7" t="n"/>
      <c r="D378" s="4" t="n"/>
    </row>
    <row r="379">
      <c r="C379" s="7" t="n"/>
      <c r="D379" s="4" t="n"/>
    </row>
    <row r="380">
      <c r="C380" s="7" t="n"/>
      <c r="D380" s="4" t="n"/>
    </row>
    <row r="381">
      <c r="C381" s="7" t="n"/>
      <c r="D381" s="4" t="n"/>
    </row>
    <row r="382">
      <c r="C382" s="7" t="n"/>
      <c r="D382" s="4" t="n"/>
    </row>
    <row r="383">
      <c r="C383" s="7" t="n"/>
      <c r="D383" s="4" t="n"/>
    </row>
    <row r="384">
      <c r="C384" s="7" t="n"/>
      <c r="D384" s="4" t="n"/>
    </row>
    <row r="385">
      <c r="C385" s="7" t="n"/>
      <c r="D385" s="4" t="n"/>
    </row>
    <row r="386">
      <c r="C386" s="7" t="n"/>
      <c r="D386" s="4" t="n"/>
    </row>
    <row r="387">
      <c r="C387" s="7" t="n"/>
      <c r="D387" s="4" t="n"/>
    </row>
    <row r="388">
      <c r="C388" s="7" t="n"/>
      <c r="D388" s="4" t="n"/>
    </row>
    <row r="389">
      <c r="C389" s="7" t="n"/>
      <c r="D389" s="4" t="n"/>
    </row>
    <row r="390">
      <c r="C390" s="7" t="n"/>
      <c r="D390" s="4" t="n"/>
    </row>
    <row r="391">
      <c r="C391" s="7" t="n"/>
      <c r="D391" s="4" t="n"/>
    </row>
    <row r="392">
      <c r="C392" s="7" t="n"/>
      <c r="D392" s="4" t="n"/>
    </row>
    <row r="393">
      <c r="C393" s="7" t="n"/>
      <c r="D393" s="4" t="n"/>
    </row>
    <row r="394">
      <c r="C394" s="7" t="n"/>
      <c r="D394" s="4" t="n"/>
    </row>
    <row r="395">
      <c r="C395" s="7" t="n"/>
      <c r="D395" s="4" t="n"/>
    </row>
    <row r="396">
      <c r="C396" s="7" t="n"/>
      <c r="D396" s="4" t="n"/>
    </row>
    <row r="397">
      <c r="C397" s="7" t="n"/>
      <c r="D397" s="4" t="n"/>
    </row>
    <row r="398">
      <c r="C398" s="7" t="n"/>
      <c r="D398" s="4" t="n"/>
    </row>
    <row r="399">
      <c r="C399" s="7" t="n"/>
      <c r="D399" s="4" t="n"/>
    </row>
    <row r="400">
      <c r="C400" s="7" t="n"/>
      <c r="D400" s="4" t="n"/>
    </row>
    <row r="401">
      <c r="C401" s="7" t="n"/>
      <c r="D401" s="4" t="n"/>
    </row>
    <row r="402">
      <c r="C402" s="7" t="n"/>
      <c r="D402" s="4" t="n"/>
    </row>
    <row r="403">
      <c r="C403" s="7" t="n"/>
      <c r="D403" s="4" t="n"/>
    </row>
    <row r="404">
      <c r="C404" s="7" t="n"/>
      <c r="D404" s="4" t="n"/>
    </row>
    <row r="405">
      <c r="C405" s="7" t="n"/>
      <c r="D405" s="4" t="n"/>
    </row>
    <row r="406">
      <c r="C406" s="7" t="n"/>
      <c r="D406" s="4" t="n"/>
    </row>
    <row r="407">
      <c r="C407" s="7" t="n"/>
      <c r="D407" s="4" t="n"/>
    </row>
    <row r="408">
      <c r="C408" s="7" t="n"/>
      <c r="D408" s="4" t="n"/>
    </row>
    <row r="409">
      <c r="C409" s="7" t="n"/>
      <c r="D409" s="4" t="n"/>
    </row>
    <row r="410">
      <c r="C410" s="7" t="n"/>
      <c r="D410" s="4" t="n"/>
    </row>
    <row r="411">
      <c r="C411" s="7" t="n"/>
      <c r="D411" s="4" t="n"/>
    </row>
    <row r="412">
      <c r="C412" s="7" t="n"/>
      <c r="D412" s="4" t="n"/>
    </row>
    <row r="413">
      <c r="C413" s="7" t="n"/>
      <c r="D413" s="4" t="n"/>
    </row>
    <row r="414">
      <c r="C414" s="7" t="n"/>
      <c r="D414" s="4" t="n"/>
    </row>
    <row r="415">
      <c r="C415" s="7" t="n"/>
      <c r="D415" s="4" t="n"/>
    </row>
    <row r="416">
      <c r="C416" s="7" t="n"/>
      <c r="D416" s="4" t="n"/>
    </row>
    <row r="417">
      <c r="C417" s="7" t="n"/>
      <c r="D417" s="4" t="n"/>
    </row>
    <row r="418">
      <c r="C418" s="7" t="n"/>
      <c r="D418" s="4" t="n"/>
    </row>
    <row r="419">
      <c r="C419" s="7" t="n"/>
      <c r="D419" s="4" t="n"/>
    </row>
    <row r="420">
      <c r="C420" s="7" t="n"/>
      <c r="D420" s="4" t="n"/>
    </row>
    <row r="421">
      <c r="C421" s="7" t="n"/>
      <c r="D421" s="4" t="n"/>
    </row>
    <row r="422">
      <c r="C422" s="7" t="n"/>
      <c r="D422" s="4" t="n"/>
    </row>
    <row r="423">
      <c r="C423" s="7" t="n"/>
      <c r="D423" s="4" t="n"/>
    </row>
    <row r="424">
      <c r="C424" s="7" t="n"/>
      <c r="D424" s="4" t="n"/>
    </row>
    <row r="425">
      <c r="C425" s="7" t="n"/>
      <c r="D425" s="4" t="n"/>
    </row>
    <row r="426">
      <c r="C426" s="7" t="n"/>
      <c r="D426" s="4" t="n"/>
    </row>
    <row r="427">
      <c r="C427" s="7" t="n"/>
      <c r="D427" s="4" t="n"/>
    </row>
    <row r="428">
      <c r="C428" s="7" t="n"/>
      <c r="D428" s="4" t="n"/>
    </row>
    <row r="429">
      <c r="C429" s="7" t="n"/>
      <c r="D429" s="4" t="n"/>
    </row>
    <row r="430">
      <c r="C430" s="7" t="n"/>
      <c r="D430" s="4" t="n"/>
    </row>
    <row r="431">
      <c r="C431" s="7" t="n"/>
      <c r="D431" s="4" t="n"/>
    </row>
    <row r="432">
      <c r="C432" s="7" t="n"/>
      <c r="D432" s="4" t="n"/>
    </row>
    <row r="433">
      <c r="C433" s="7" t="n"/>
      <c r="D433" s="4" t="n"/>
    </row>
    <row r="434">
      <c r="C434" s="7" t="n"/>
      <c r="D434" s="4" t="n"/>
    </row>
    <row r="435">
      <c r="C435" s="7" t="n"/>
      <c r="D435" s="4" t="n"/>
    </row>
    <row r="436">
      <c r="C436" s="7" t="n"/>
      <c r="D436" s="4" t="n"/>
    </row>
    <row r="437">
      <c r="C437" s="7" t="n"/>
      <c r="D437" s="4" t="n"/>
    </row>
    <row r="438">
      <c r="C438" s="7" t="n"/>
      <c r="D438" s="4" t="n"/>
    </row>
    <row r="439">
      <c r="C439" s="7" t="n"/>
      <c r="D439" s="4" t="n"/>
    </row>
    <row r="440">
      <c r="C440" s="7" t="n"/>
      <c r="D440" s="4" t="n"/>
    </row>
    <row r="441">
      <c r="C441" s="7" t="n"/>
      <c r="D441" s="4" t="n"/>
    </row>
    <row r="442">
      <c r="C442" s="7" t="n"/>
      <c r="D442" s="4" t="n"/>
    </row>
    <row r="443">
      <c r="C443" s="7" t="n"/>
      <c r="D443" s="4" t="n"/>
    </row>
    <row r="444">
      <c r="C444" s="7" t="n"/>
      <c r="D444" s="4" t="n"/>
    </row>
    <row r="445">
      <c r="C445" s="7" t="n"/>
      <c r="D445" s="4" t="n"/>
    </row>
    <row r="446">
      <c r="C446" s="7" t="n"/>
      <c r="D446" s="4" t="n"/>
    </row>
    <row r="447">
      <c r="C447" s="7" t="n"/>
      <c r="D447" s="4" t="n"/>
    </row>
    <row r="448">
      <c r="C448" s="7" t="n"/>
      <c r="D448" s="4" t="n"/>
    </row>
    <row r="449">
      <c r="C449" s="7" t="n"/>
      <c r="D449" s="4" t="n"/>
    </row>
    <row r="450">
      <c r="C450" s="7" t="n"/>
      <c r="D450" s="4" t="n"/>
    </row>
    <row r="451">
      <c r="C451" s="7" t="n"/>
      <c r="D451" s="4" t="n"/>
    </row>
    <row r="452">
      <c r="C452" s="7" t="n"/>
      <c r="D452" s="4" t="n"/>
    </row>
    <row r="453">
      <c r="C453" s="7" t="n"/>
      <c r="D453" s="4" t="n"/>
    </row>
    <row r="454">
      <c r="C454" s="7" t="n"/>
      <c r="D454" s="4" t="n"/>
    </row>
    <row r="455">
      <c r="C455" s="7" t="n"/>
      <c r="D455" s="4" t="n"/>
    </row>
    <row r="456">
      <c r="C456" s="7" t="n"/>
      <c r="D456" s="4" t="n"/>
    </row>
    <row r="457">
      <c r="C457" s="7" t="n"/>
      <c r="D457" s="4" t="n"/>
    </row>
    <row r="458">
      <c r="C458" s="7" t="n"/>
      <c r="D458" s="4" t="n"/>
    </row>
    <row r="459">
      <c r="C459" s="7" t="n"/>
      <c r="D459" s="4" t="n"/>
    </row>
    <row r="460">
      <c r="C460" s="7" t="n"/>
      <c r="D460" s="4" t="n"/>
    </row>
    <row r="461">
      <c r="C461" s="7" t="n"/>
      <c r="D461" s="4" t="n"/>
    </row>
    <row r="462">
      <c r="C462" s="7" t="n"/>
      <c r="D462" s="4" t="n"/>
    </row>
    <row r="463">
      <c r="C463" s="7" t="n"/>
      <c r="D463" s="4" t="n"/>
    </row>
    <row r="464">
      <c r="C464" s="7" t="n"/>
      <c r="D464" s="4" t="n"/>
    </row>
    <row r="465">
      <c r="C465" s="7" t="n"/>
      <c r="D465" s="4" t="n"/>
    </row>
    <row r="466">
      <c r="C466" s="7" t="n"/>
      <c r="D466" s="4" t="n"/>
    </row>
    <row r="467">
      <c r="C467" s="7" t="n"/>
      <c r="D467" s="4" t="n"/>
    </row>
    <row r="468">
      <c r="C468" s="7" t="n"/>
      <c r="D468" s="4" t="n"/>
    </row>
    <row r="469">
      <c r="C469" s="7" t="n"/>
      <c r="D469" s="4" t="n"/>
    </row>
    <row r="470">
      <c r="C470" s="7" t="n"/>
      <c r="D470" s="4" t="n"/>
    </row>
    <row r="471">
      <c r="C471" s="7" t="n"/>
      <c r="D471" s="4" t="n"/>
    </row>
    <row r="472">
      <c r="C472" s="7" t="n"/>
      <c r="D472" s="4" t="n"/>
    </row>
    <row r="473">
      <c r="C473" s="7" t="n"/>
      <c r="D473" s="4" t="n"/>
    </row>
    <row r="474">
      <c r="C474" s="7" t="n"/>
      <c r="D474" s="4" t="n"/>
    </row>
    <row r="475">
      <c r="C475" s="7" t="n"/>
      <c r="D475" s="4" t="n"/>
    </row>
    <row r="476">
      <c r="C476" s="7" t="n"/>
      <c r="D476" s="4" t="n"/>
    </row>
    <row r="477">
      <c r="C477" s="7" t="n"/>
      <c r="D477" s="4" t="n"/>
    </row>
    <row r="478">
      <c r="C478" s="7" t="n"/>
      <c r="D478" s="4" t="n"/>
    </row>
    <row r="479">
      <c r="C479" s="7" t="n"/>
      <c r="D479" s="4" t="n"/>
    </row>
    <row r="480">
      <c r="C480" s="7" t="n"/>
      <c r="D480" s="4" t="n"/>
    </row>
    <row r="481">
      <c r="C481" s="7" t="n"/>
      <c r="D481" s="4" t="n"/>
    </row>
    <row r="482">
      <c r="C482" s="7" t="n"/>
      <c r="D482" s="4" t="n"/>
    </row>
    <row r="483">
      <c r="C483" s="7" t="n"/>
      <c r="D483" s="4" t="n"/>
    </row>
    <row r="484">
      <c r="C484" s="7" t="n"/>
      <c r="D484" s="4" t="n"/>
    </row>
    <row r="485">
      <c r="C485" s="7" t="n"/>
      <c r="D485" s="4" t="n"/>
    </row>
    <row r="486">
      <c r="C486" s="7" t="n"/>
      <c r="D486" s="4" t="n"/>
    </row>
    <row r="487">
      <c r="C487" s="7" t="n"/>
      <c r="D487" s="4" t="n"/>
    </row>
    <row r="488">
      <c r="C488" s="7" t="n"/>
      <c r="D488" s="4" t="n"/>
    </row>
    <row r="489">
      <c r="C489" s="7" t="n"/>
      <c r="D489" s="4" t="n"/>
    </row>
    <row r="490">
      <c r="C490" s="7" t="n"/>
      <c r="D490" s="4" t="n"/>
    </row>
    <row r="491">
      <c r="C491" s="7" t="n"/>
      <c r="D491" s="4" t="n"/>
    </row>
    <row r="492">
      <c r="C492" s="7" t="n"/>
      <c r="D492" s="4" t="n"/>
    </row>
    <row r="493">
      <c r="C493" s="7" t="n"/>
      <c r="D493" s="4" t="n"/>
    </row>
    <row r="494">
      <c r="C494" s="7" t="n"/>
      <c r="D494" s="4" t="n"/>
    </row>
    <row r="495">
      <c r="C495" s="7" t="n"/>
      <c r="D495" s="4" t="n"/>
    </row>
    <row r="496">
      <c r="C496" s="7" t="n"/>
      <c r="D496" s="4" t="n"/>
    </row>
    <row r="497">
      <c r="C497" s="7" t="n"/>
      <c r="D497" s="4" t="n"/>
    </row>
    <row r="498">
      <c r="C498" s="7" t="n"/>
      <c r="D498" s="4" t="n"/>
    </row>
    <row r="499">
      <c r="C499" s="7" t="n"/>
      <c r="D499" s="4" t="n"/>
    </row>
    <row r="500">
      <c r="C500" s="7" t="n"/>
      <c r="D500" s="4" t="n"/>
    </row>
    <row r="501">
      <c r="B501" s="8" t="inlineStr">
        <is>
          <t>Итого активов:</t>
        </is>
      </c>
      <c r="C501" s="9">
        <f>SUM(C2:C500)</f>
        <v/>
      </c>
    </row>
  </sheetData>
  <dataValidations count="1">
    <dataValidation sqref="A2:A500" showDropDown="0" showInputMessage="0" showErrorMessage="0" allowBlank="1" type="list">
      <formula1>=Списки!$H$2:$H$6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8" customWidth="1" min="3" max="3"/>
    <col width="14" customWidth="1" min="4" max="4"/>
    <col width="14" customWidth="1" min="5" max="5"/>
    <col width="20" customWidth="1" min="6" max="6"/>
    <col width="14" customWidth="1" min="7" max="7"/>
    <col width="16" customWidth="1" min="8" max="8"/>
  </cols>
  <sheetData>
    <row r="1">
      <c r="A1" s="19" t="inlineStr">
        <is>
          <t>Месяц</t>
        </is>
      </c>
      <c r="B1" s="19" t="inlineStr">
        <is>
          <t>Доходы (€)</t>
        </is>
      </c>
      <c r="C1" s="19" t="inlineStr">
        <is>
          <t>Возвраты долгов (€)</t>
        </is>
      </c>
      <c r="D1" s="19" t="inlineStr">
        <is>
          <t>Расходы (€)</t>
        </is>
      </c>
      <c r="E1" s="19" t="inlineStr">
        <is>
          <t>Подписки (€)</t>
        </is>
      </c>
      <c r="F1" s="19" t="inlineStr">
        <is>
          <t>Платежи по долгам (€)</t>
        </is>
      </c>
      <c r="G1" s="19" t="inlineStr">
        <is>
          <t>Остаток (€)</t>
        </is>
      </c>
      <c r="H1" s="19" t="inlineStr">
        <is>
          <t>Норма сбережений</t>
        </is>
      </c>
    </row>
    <row r="2">
      <c r="A2" s="20">
        <f>DATE(Настройки!$B$8,1,1)</f>
        <v/>
      </c>
      <c r="B2" s="21">
        <f>SUMIFS(Операции!$D:$D,Операции!$B:$B,"Доход",Операции!$A:$A,"&gt;="&amp;$A2,Операции!$A:$A,"&lt;"&amp;EDATE($A2,1))</f>
        <v/>
      </c>
      <c r="C2" s="21">
        <f>SUMIFS(Платежи!$C:$C,Платежи!$D:$D,"Мне должны",Платежи!$A:$A,"&gt;="&amp;$A2,Платежи!$A:$A,"&lt;"&amp;EDATE($A2,1))</f>
        <v/>
      </c>
      <c r="D2" s="21">
        <f>SUMIFS(Операции!$D:$D,Операции!$B:$B,"Расход",Операции!$A:$A,"&gt;="&amp;$A2,Операции!$A:$A,"&lt;"&amp;EDATE($A2,1))</f>
        <v/>
      </c>
      <c r="E2" s="21">
        <f>Подписки!$E$501</f>
        <v/>
      </c>
      <c r="F2" s="21">
        <f>SUMIFS(Платежи!$C:$C,Платежи!$D:$D,"Я должен",Платежи!$A:$A,"&gt;="&amp;$A2,Платежи!$A:$A,"&lt;"&amp;EDATE($A2,1))</f>
        <v/>
      </c>
      <c r="G2" s="21">
        <f>B2+C2-D2-E2-F2</f>
        <v/>
      </c>
      <c r="H2" s="10">
        <f>IF(B2+C2=0,"",G2/(B2+C2))</f>
        <v/>
      </c>
    </row>
    <row r="3">
      <c r="A3" s="20">
        <f>EDATE(A2,1)</f>
        <v/>
      </c>
      <c r="B3" s="21">
        <f>SUMIFS(Операции!$D:$D,Операции!$B:$B,"Доход",Операции!$A:$A,"&gt;="&amp;$A3,Операции!$A:$A,"&lt;"&amp;EDATE($A3,1))</f>
        <v/>
      </c>
      <c r="C3" s="21">
        <f>SUMIFS(Платежи!$C:$C,Платежи!$D:$D,"Мне должны",Платежи!$A:$A,"&gt;="&amp;$A3,Платежи!$A:$A,"&lt;"&amp;EDATE($A3,1))</f>
        <v/>
      </c>
      <c r="D3" s="21">
        <f>SUMIFS(Операции!$D:$D,Операции!$B:$B,"Расход",Операции!$A:$A,"&gt;="&amp;$A3,Операции!$A:$A,"&lt;"&amp;EDATE($A3,1))</f>
        <v/>
      </c>
      <c r="E3" s="21">
        <f>Подписки!$E$501</f>
        <v/>
      </c>
      <c r="F3" s="21">
        <f>SUMIFS(Платежи!$C:$C,Платежи!$D:$D,"Я должен",Платежи!$A:$A,"&gt;="&amp;$A3,Платежи!$A:$A,"&lt;"&amp;EDATE($A3,1))</f>
        <v/>
      </c>
      <c r="G3" s="21">
        <f>B3+C3-D3-E3-F3</f>
        <v/>
      </c>
      <c r="H3" s="10">
        <f>IF(B3+C3=0,"",G3/(B3+C3))</f>
        <v/>
      </c>
    </row>
    <row r="4">
      <c r="A4" s="20">
        <f>EDATE(A3,1)</f>
        <v/>
      </c>
      <c r="B4" s="21">
        <f>SUMIFS(Операции!$D:$D,Операции!$B:$B,"Доход",Операции!$A:$A,"&gt;="&amp;$A4,Операции!$A:$A,"&lt;"&amp;EDATE($A4,1))</f>
        <v/>
      </c>
      <c r="C4" s="21">
        <f>SUMIFS(Платежи!$C:$C,Платежи!$D:$D,"Мне должны",Платежи!$A:$A,"&gt;="&amp;$A4,Платежи!$A:$A,"&lt;"&amp;EDATE($A4,1))</f>
        <v/>
      </c>
      <c r="D4" s="21">
        <f>SUMIFS(Операции!$D:$D,Операции!$B:$B,"Расход",Операции!$A:$A,"&gt;="&amp;$A4,Операции!$A:$A,"&lt;"&amp;EDATE($A4,1))</f>
        <v/>
      </c>
      <c r="E4" s="21">
        <f>Подписки!$E$501</f>
        <v/>
      </c>
      <c r="F4" s="21">
        <f>SUMIFS(Платежи!$C:$C,Платежи!$D:$D,"Я должен",Платежи!$A:$A,"&gt;="&amp;$A4,Платежи!$A:$A,"&lt;"&amp;EDATE($A4,1))</f>
        <v/>
      </c>
      <c r="G4" s="21">
        <f>B4+C4-D4-E4-F4</f>
        <v/>
      </c>
      <c r="H4" s="10">
        <f>IF(B4+C4=0,"",G4/(B4+C4))</f>
        <v/>
      </c>
    </row>
    <row r="5">
      <c r="A5" s="20">
        <f>EDATE(A4,1)</f>
        <v/>
      </c>
      <c r="B5" s="21">
        <f>SUMIFS(Операции!$D:$D,Операции!$B:$B,"Доход",Операции!$A:$A,"&gt;="&amp;$A5,Операции!$A:$A,"&lt;"&amp;EDATE($A5,1))</f>
        <v/>
      </c>
      <c r="C5" s="21">
        <f>SUMIFS(Платежи!$C:$C,Платежи!$D:$D,"Мне должны",Платежи!$A:$A,"&gt;="&amp;$A5,Платежи!$A:$A,"&lt;"&amp;EDATE($A5,1))</f>
        <v/>
      </c>
      <c r="D5" s="21">
        <f>SUMIFS(Операции!$D:$D,Операции!$B:$B,"Расход",Операции!$A:$A,"&gt;="&amp;$A5,Операции!$A:$A,"&lt;"&amp;EDATE($A5,1))</f>
        <v/>
      </c>
      <c r="E5" s="21">
        <f>Подписки!$E$501</f>
        <v/>
      </c>
      <c r="F5" s="21">
        <f>SUMIFS(Платежи!$C:$C,Платежи!$D:$D,"Я должен",Платежи!$A:$A,"&gt;="&amp;$A5,Платежи!$A:$A,"&lt;"&amp;EDATE($A5,1))</f>
        <v/>
      </c>
      <c r="G5" s="21">
        <f>B5+C5-D5-E5-F5</f>
        <v/>
      </c>
      <c r="H5" s="10">
        <f>IF(B5+C5=0,"",G5/(B5+C5))</f>
        <v/>
      </c>
    </row>
    <row r="6">
      <c r="A6" s="20">
        <f>EDATE(A5,1)</f>
        <v/>
      </c>
      <c r="B6" s="21">
        <f>SUMIFS(Операции!$D:$D,Операции!$B:$B,"Доход",Операции!$A:$A,"&gt;="&amp;$A6,Операции!$A:$A,"&lt;"&amp;EDATE($A6,1))</f>
        <v/>
      </c>
      <c r="C6" s="21">
        <f>SUMIFS(Платежи!$C:$C,Платежи!$D:$D,"Мне должны",Платежи!$A:$A,"&gt;="&amp;$A6,Платежи!$A:$A,"&lt;"&amp;EDATE($A6,1))</f>
        <v/>
      </c>
      <c r="D6" s="21">
        <f>SUMIFS(Операции!$D:$D,Операции!$B:$B,"Расход",Операции!$A:$A,"&gt;="&amp;$A6,Операции!$A:$A,"&lt;"&amp;EDATE($A6,1))</f>
        <v/>
      </c>
      <c r="E6" s="21">
        <f>Подписки!$E$501</f>
        <v/>
      </c>
      <c r="F6" s="21">
        <f>SUMIFS(Платежи!$C:$C,Платежи!$D:$D,"Я должен",Платежи!$A:$A,"&gt;="&amp;$A6,Платежи!$A:$A,"&lt;"&amp;EDATE($A6,1))</f>
        <v/>
      </c>
      <c r="G6" s="21">
        <f>B6+C6-D6-E6-F6</f>
        <v/>
      </c>
      <c r="H6" s="10">
        <f>IF(B6+C6=0,"",G6/(B6+C6))</f>
        <v/>
      </c>
    </row>
    <row r="7">
      <c r="A7" s="20">
        <f>EDATE(A6,1)</f>
        <v/>
      </c>
      <c r="B7" s="21">
        <f>SUMIFS(Операции!$D:$D,Операции!$B:$B,"Доход",Операции!$A:$A,"&gt;="&amp;$A7,Операции!$A:$A,"&lt;"&amp;EDATE($A7,1))</f>
        <v/>
      </c>
      <c r="C7" s="21">
        <f>SUMIFS(Платежи!$C:$C,Платежи!$D:$D,"Мне должны",Платежи!$A:$A,"&gt;="&amp;$A7,Платежи!$A:$A,"&lt;"&amp;EDATE($A7,1))</f>
        <v/>
      </c>
      <c r="D7" s="21">
        <f>SUMIFS(Операции!$D:$D,Операции!$B:$B,"Расход",Операции!$A:$A,"&gt;="&amp;$A7,Операции!$A:$A,"&lt;"&amp;EDATE($A7,1))</f>
        <v/>
      </c>
      <c r="E7" s="21">
        <f>Подписки!$E$501</f>
        <v/>
      </c>
      <c r="F7" s="21">
        <f>SUMIFS(Платежи!$C:$C,Платежи!$D:$D,"Я должен",Платежи!$A:$A,"&gt;="&amp;$A7,Платежи!$A:$A,"&lt;"&amp;EDATE($A7,1))</f>
        <v/>
      </c>
      <c r="G7" s="21">
        <f>B7+C7-D7-E7-F7</f>
        <v/>
      </c>
      <c r="H7" s="10">
        <f>IF(B7+C7=0,"",G7/(B7+C7))</f>
        <v/>
      </c>
    </row>
    <row r="8">
      <c r="A8" s="20">
        <f>EDATE(A7,1)</f>
        <v/>
      </c>
      <c r="B8" s="21">
        <f>SUMIFS(Операции!$D:$D,Операции!$B:$B,"Доход",Операции!$A:$A,"&gt;="&amp;$A8,Операции!$A:$A,"&lt;"&amp;EDATE($A8,1))</f>
        <v/>
      </c>
      <c r="C8" s="21">
        <f>SUMIFS(Платежи!$C:$C,Платежи!$D:$D,"Мне должны",Платежи!$A:$A,"&gt;="&amp;$A8,Платежи!$A:$A,"&lt;"&amp;EDATE($A8,1))</f>
        <v/>
      </c>
      <c r="D8" s="21">
        <f>SUMIFS(Операции!$D:$D,Операции!$B:$B,"Расход",Операции!$A:$A,"&gt;="&amp;$A8,Операции!$A:$A,"&lt;"&amp;EDATE($A8,1))</f>
        <v/>
      </c>
      <c r="E8" s="21">
        <f>Подписки!$E$501</f>
        <v/>
      </c>
      <c r="F8" s="21">
        <f>SUMIFS(Платежи!$C:$C,Платежи!$D:$D,"Я должен",Платежи!$A:$A,"&gt;="&amp;$A8,Платежи!$A:$A,"&lt;"&amp;EDATE($A8,1))</f>
        <v/>
      </c>
      <c r="G8" s="21">
        <f>B8+C8-D8-E8-F8</f>
        <v/>
      </c>
      <c r="H8" s="10">
        <f>IF(B8+C8=0,"",G8/(B8+C8))</f>
        <v/>
      </c>
    </row>
    <row r="9">
      <c r="A9" s="20">
        <f>EDATE(A8,1)</f>
        <v/>
      </c>
      <c r="B9" s="21">
        <f>SUMIFS(Операции!$D:$D,Операции!$B:$B,"Доход",Операции!$A:$A,"&gt;="&amp;$A9,Операции!$A:$A,"&lt;"&amp;EDATE($A9,1))</f>
        <v/>
      </c>
      <c r="C9" s="21">
        <f>SUMIFS(Платежи!$C:$C,Платежи!$D:$D,"Мне должны",Платежи!$A:$A,"&gt;="&amp;$A9,Платежи!$A:$A,"&lt;"&amp;EDATE($A9,1))</f>
        <v/>
      </c>
      <c r="D9" s="21">
        <f>SUMIFS(Операции!$D:$D,Операции!$B:$B,"Расход",Операции!$A:$A,"&gt;="&amp;$A9,Операции!$A:$A,"&lt;"&amp;EDATE($A9,1))</f>
        <v/>
      </c>
      <c r="E9" s="21">
        <f>Подписки!$E$501</f>
        <v/>
      </c>
      <c r="F9" s="21">
        <f>SUMIFS(Платежи!$C:$C,Платежи!$D:$D,"Я должен",Платежи!$A:$A,"&gt;="&amp;$A9,Платежи!$A:$A,"&lt;"&amp;EDATE($A9,1))</f>
        <v/>
      </c>
      <c r="G9" s="21">
        <f>B9+C9-D9-E9-F9</f>
        <v/>
      </c>
      <c r="H9" s="10">
        <f>IF(B9+C9=0,"",G9/(B9+C9))</f>
        <v/>
      </c>
    </row>
    <row r="10">
      <c r="A10" s="20">
        <f>EDATE(A9,1)</f>
        <v/>
      </c>
      <c r="B10" s="21">
        <f>SUMIFS(Операции!$D:$D,Операции!$B:$B,"Доход",Операции!$A:$A,"&gt;="&amp;$A10,Операции!$A:$A,"&lt;"&amp;EDATE($A10,1))</f>
        <v/>
      </c>
      <c r="C10" s="21">
        <f>SUMIFS(Платежи!$C:$C,Платежи!$D:$D,"Мне должны",Платежи!$A:$A,"&gt;="&amp;$A10,Платежи!$A:$A,"&lt;"&amp;EDATE($A10,1))</f>
        <v/>
      </c>
      <c r="D10" s="21">
        <f>SUMIFS(Операции!$D:$D,Операции!$B:$B,"Расход",Операции!$A:$A,"&gt;="&amp;$A10,Операции!$A:$A,"&lt;"&amp;EDATE($A10,1))</f>
        <v/>
      </c>
      <c r="E10" s="21">
        <f>Подписки!$E$501</f>
        <v/>
      </c>
      <c r="F10" s="21">
        <f>SUMIFS(Платежи!$C:$C,Платежи!$D:$D,"Я должен",Платежи!$A:$A,"&gt;="&amp;$A10,Платежи!$A:$A,"&lt;"&amp;EDATE($A10,1))</f>
        <v/>
      </c>
      <c r="G10" s="21">
        <f>B10+C10-D10-E10-F10</f>
        <v/>
      </c>
      <c r="H10" s="10">
        <f>IF(B10+C10=0,"",G10/(B10+C10))</f>
        <v/>
      </c>
    </row>
    <row r="11">
      <c r="A11" s="20">
        <f>EDATE(A10,1)</f>
        <v/>
      </c>
      <c r="B11" s="21">
        <f>SUMIFS(Операции!$D:$D,Операции!$B:$B,"Доход",Операции!$A:$A,"&gt;="&amp;$A11,Операции!$A:$A,"&lt;"&amp;EDATE($A11,1))</f>
        <v/>
      </c>
      <c r="C11" s="21">
        <f>SUMIFS(Платежи!$C:$C,Платежи!$D:$D,"Мне должны",Платежи!$A:$A,"&gt;="&amp;$A11,Платежи!$A:$A,"&lt;"&amp;EDATE($A11,1))</f>
        <v/>
      </c>
      <c r="D11" s="21">
        <f>SUMIFS(Операции!$D:$D,Операции!$B:$B,"Расход",Операции!$A:$A,"&gt;="&amp;$A11,Операции!$A:$A,"&lt;"&amp;EDATE($A11,1))</f>
        <v/>
      </c>
      <c r="E11" s="21">
        <f>Подписки!$E$501</f>
        <v/>
      </c>
      <c r="F11" s="21">
        <f>SUMIFS(Платежи!$C:$C,Платежи!$D:$D,"Я должен",Платежи!$A:$A,"&gt;="&amp;$A11,Платежи!$A:$A,"&lt;"&amp;EDATE($A11,1))</f>
        <v/>
      </c>
      <c r="G11" s="21">
        <f>B11+C11-D11-E11-F11</f>
        <v/>
      </c>
      <c r="H11" s="10">
        <f>IF(B11+C11=0,"",G11/(B11+C11))</f>
        <v/>
      </c>
    </row>
    <row r="12">
      <c r="A12" s="20">
        <f>EDATE(A11,1)</f>
        <v/>
      </c>
      <c r="B12" s="21">
        <f>SUMIFS(Операции!$D:$D,Операции!$B:$B,"Доход",Операции!$A:$A,"&gt;="&amp;$A12,Операции!$A:$A,"&lt;"&amp;EDATE($A12,1))</f>
        <v/>
      </c>
      <c r="C12" s="21">
        <f>SUMIFS(Платежи!$C:$C,Платежи!$D:$D,"Мне должны",Платежи!$A:$A,"&gt;="&amp;$A12,Платежи!$A:$A,"&lt;"&amp;EDATE($A12,1))</f>
        <v/>
      </c>
      <c r="D12" s="21">
        <f>SUMIFS(Операции!$D:$D,Операции!$B:$B,"Расход",Операции!$A:$A,"&gt;="&amp;$A12,Операции!$A:$A,"&lt;"&amp;EDATE($A12,1))</f>
        <v/>
      </c>
      <c r="E12" s="21">
        <f>Подписки!$E$501</f>
        <v/>
      </c>
      <c r="F12" s="21">
        <f>SUMIFS(Платежи!$C:$C,Платежи!$D:$D,"Я должен",Платежи!$A:$A,"&gt;="&amp;$A12,Платежи!$A:$A,"&lt;"&amp;EDATE($A12,1))</f>
        <v/>
      </c>
      <c r="G12" s="21">
        <f>B12+C12-D12-E12-F12</f>
        <v/>
      </c>
      <c r="H12" s="10">
        <f>IF(B12+C12=0,"",G12/(B12+C12))</f>
        <v/>
      </c>
    </row>
    <row r="13">
      <c r="A13" s="20">
        <f>EDATE(A12,1)</f>
        <v/>
      </c>
      <c r="B13" s="21">
        <f>SUMIFS(Операции!$D:$D,Операции!$B:$B,"Доход",Операции!$A:$A,"&gt;="&amp;$A13,Операции!$A:$A,"&lt;"&amp;EDATE($A13,1))</f>
        <v/>
      </c>
      <c r="C13" s="21">
        <f>SUMIFS(Платежи!$C:$C,Платежи!$D:$D,"Мне должны",Платежи!$A:$A,"&gt;="&amp;$A13,Платежи!$A:$A,"&lt;"&amp;EDATE($A13,1))</f>
        <v/>
      </c>
      <c r="D13" s="21">
        <f>SUMIFS(Операции!$D:$D,Операции!$B:$B,"Расход",Операции!$A:$A,"&gt;="&amp;$A13,Операции!$A:$A,"&lt;"&amp;EDATE($A13,1))</f>
        <v/>
      </c>
      <c r="E13" s="21">
        <f>Подписки!$E$501</f>
        <v/>
      </c>
      <c r="F13" s="21">
        <f>SUMIFS(Платежи!$C:$C,Платежи!$D:$D,"Я должен",Платежи!$A:$A,"&gt;="&amp;$A13,Платежи!$A:$A,"&lt;"&amp;EDATE($A13,1))</f>
        <v/>
      </c>
      <c r="G13" s="21">
        <f>B13+C13-D13-E13-F13</f>
        <v/>
      </c>
      <c r="H13" s="10">
        <f>IF(B13+C13=0,"",G13/(B13+C13))</f>
        <v/>
      </c>
    </row>
    <row r="14">
      <c r="A14" s="8" t="inlineStr">
        <is>
          <t>Итого за 12 месяцев</t>
        </is>
      </c>
      <c r="B14" s="22">
        <f>SUM(B2:B13)</f>
        <v/>
      </c>
      <c r="C14" s="22">
        <f>SUM(C2:C13)</f>
        <v/>
      </c>
      <c r="D14" s="22">
        <f>SUM(D2:D13)</f>
        <v/>
      </c>
      <c r="E14" s="22">
        <f>SUM(E2:E13)</f>
        <v/>
      </c>
      <c r="F14" s="22">
        <f>SUM(F2:F13)</f>
        <v/>
      </c>
      <c r="G14" s="22">
        <f>SUM(G2:G13)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>
      <c r="A1" s="12" t="inlineStr">
        <is>
          <t>Категории</t>
        </is>
      </c>
      <c r="B1" s="12" t="inlineStr">
        <is>
          <t>Тип операции</t>
        </is>
      </c>
      <c r="C1" s="12" t="inlineStr">
        <is>
          <t>Направление долга</t>
        </is>
      </c>
      <c r="D1" s="12" t="inlineStr">
        <is>
          <t>Вид долга</t>
        </is>
      </c>
      <c r="E1" s="12" t="inlineStr">
        <is>
          <t>Период подписки</t>
        </is>
      </c>
      <c r="F1" s="12" t="inlineStr">
        <is>
          <t>Включена</t>
        </is>
      </c>
      <c r="G1" s="12" t="inlineStr">
        <is>
          <t>Тип инвестиции</t>
        </is>
      </c>
      <c r="H1" s="12" t="inlineStr">
        <is>
          <t>Тип актива</t>
        </is>
      </c>
    </row>
    <row r="2">
      <c r="A2" t="inlineStr">
        <is>
          <t>Зарплата</t>
        </is>
      </c>
      <c r="B2" t="inlineStr">
        <is>
          <t>Доход</t>
        </is>
      </c>
      <c r="C2" t="inlineStr">
        <is>
          <t>Я должен</t>
        </is>
      </c>
      <c r="D2" t="inlineStr">
        <is>
          <t>Кредит</t>
        </is>
      </c>
      <c r="E2" t="inlineStr">
        <is>
          <t>в месяц</t>
        </is>
      </c>
      <c r="F2" t="inlineStr">
        <is>
          <t>Да</t>
        </is>
      </c>
      <c r="G2" t="inlineStr">
        <is>
          <t>Фонды</t>
        </is>
      </c>
      <c r="H2" t="inlineStr">
        <is>
          <t>Наличные</t>
        </is>
      </c>
    </row>
    <row r="3">
      <c r="A3" t="inlineStr">
        <is>
          <t>Доход от фирмы</t>
        </is>
      </c>
      <c r="B3" t="inlineStr">
        <is>
          <t>Расход</t>
        </is>
      </c>
      <c r="C3" t="inlineStr">
        <is>
          <t>Мне должны</t>
        </is>
      </c>
      <c r="D3" t="inlineStr">
        <is>
          <t>Ипотека</t>
        </is>
      </c>
      <c r="E3" t="inlineStr">
        <is>
          <t>в год</t>
        </is>
      </c>
      <c r="F3" t="inlineStr">
        <is>
          <t>Нет</t>
        </is>
      </c>
      <c r="G3" t="inlineStr">
        <is>
          <t>Акции</t>
        </is>
      </c>
      <c r="H3" t="inlineStr">
        <is>
          <t>Вклад / счёт</t>
        </is>
      </c>
    </row>
    <row r="4">
      <c r="A4" t="inlineStr">
        <is>
          <t>Дивиденды</t>
        </is>
      </c>
      <c r="D4" t="inlineStr">
        <is>
          <t>Займ</t>
        </is>
      </c>
      <c r="G4" t="inlineStr">
        <is>
          <t>Облигации</t>
        </is>
      </c>
      <c r="H4" t="inlineStr">
        <is>
          <t>Недвижимость</t>
        </is>
      </c>
    </row>
    <row r="5">
      <c r="A5" t="inlineStr">
        <is>
          <t>Проценты</t>
        </is>
      </c>
      <c r="D5" t="inlineStr">
        <is>
          <t>Кредитная карта</t>
        </is>
      </c>
      <c r="G5" t="inlineStr">
        <is>
          <t>Вклад</t>
        </is>
      </c>
      <c r="H5" t="inlineStr">
        <is>
          <t>Авто</t>
        </is>
      </c>
    </row>
    <row r="6">
      <c r="A6" t="inlineStr">
        <is>
          <t>Подарки</t>
        </is>
      </c>
      <c r="D6" t="inlineStr">
        <is>
          <t>Лизинг</t>
        </is>
      </c>
      <c r="G6" t="inlineStr">
        <is>
          <t>Крипто</t>
        </is>
      </c>
      <c r="H6" t="inlineStr">
        <is>
          <t>Прочее</t>
        </is>
      </c>
    </row>
    <row r="7">
      <c r="A7" t="inlineStr">
        <is>
          <t>Прочий доход</t>
        </is>
      </c>
      <c r="D7" t="inlineStr">
        <is>
          <t>Рассрочка</t>
        </is>
      </c>
      <c r="G7" t="inlineStr">
        <is>
          <t>Другое</t>
        </is>
      </c>
    </row>
    <row r="8">
      <c r="A8" t="inlineStr">
        <is>
          <t>Продукты</t>
        </is>
      </c>
      <c r="D8" t="inlineStr">
        <is>
          <t>Частный долг</t>
        </is>
      </c>
    </row>
    <row r="9">
      <c r="A9" t="inlineStr">
        <is>
          <t>Рестораны</t>
        </is>
      </c>
      <c r="D9" t="inlineStr">
        <is>
          <t>Другое</t>
        </is>
      </c>
    </row>
    <row r="10">
      <c r="A10" t="inlineStr">
        <is>
          <t>Транспорт</t>
        </is>
      </c>
    </row>
    <row r="11">
      <c r="A11" t="inlineStr">
        <is>
          <t>Жильё</t>
        </is>
      </c>
    </row>
    <row r="12">
      <c r="A12" t="inlineStr">
        <is>
          <t>Коммунальные</t>
        </is>
      </c>
    </row>
    <row r="13">
      <c r="A13" t="inlineStr">
        <is>
          <t>Связь</t>
        </is>
      </c>
    </row>
    <row r="14">
      <c r="A14" t="inlineStr">
        <is>
          <t>Здоровье</t>
        </is>
      </c>
    </row>
    <row r="15">
      <c r="A15" t="inlineStr">
        <is>
          <t>Одежда</t>
        </is>
      </c>
    </row>
    <row r="16">
      <c r="A16" t="inlineStr">
        <is>
          <t>Развлечения</t>
        </is>
      </c>
    </row>
    <row r="17">
      <c r="A17" t="inlineStr">
        <is>
          <t>Образование</t>
        </is>
      </c>
    </row>
    <row r="18">
      <c r="A18" t="inlineStr">
        <is>
          <t>Путешествия</t>
        </is>
      </c>
    </row>
    <row r="19">
      <c r="A19" t="inlineStr">
        <is>
          <t>Прочие расходы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2026-10-29T19:40:27Z</dcterms:created>
  <dcterms:modified xmlns:dcterms="http://purl.org/dc/terms/" xmlns:xsi="http://www.w3.org/2001/XMLSchema-instance" xsi:type="dcterms:W3CDTF">2026-10-29T19:40:28Z</dcterms:modified>
</cp:coreProperties>
</file>